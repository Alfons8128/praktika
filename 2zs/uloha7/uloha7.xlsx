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7\"/>
    </mc:Choice>
  </mc:AlternateContent>
  <xr:revisionPtr revIDLastSave="0" documentId="13_ncr:1_{EDBCF71A-67AE-454D-86E2-36BF09D965D3}" xr6:coauthVersionLast="47" xr6:coauthVersionMax="47" xr10:uidLastSave="{00000000-0000-0000-0000-000000000000}"/>
  <bookViews>
    <workbookView xWindow="-108" yWindow="-108" windowWidth="23256" windowHeight="12456" xr2:uid="{C78186FA-06F9-4A36-99E9-9DBABD2AC56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K31" i="1"/>
  <c r="K32" i="1"/>
  <c r="K33" i="1"/>
  <c r="K34" i="1"/>
  <c r="K35" i="1"/>
  <c r="K37" i="1"/>
  <c r="K38" i="1"/>
  <c r="K39" i="1"/>
  <c r="K42" i="1"/>
  <c r="K41" i="1"/>
  <c r="K40" i="1"/>
  <c r="K36" i="1"/>
  <c r="K29" i="1"/>
  <c r="K17" i="1"/>
  <c r="K18" i="1"/>
  <c r="K19" i="1"/>
  <c r="K20" i="1"/>
  <c r="K21" i="1"/>
  <c r="K22" i="1"/>
  <c r="K23" i="1"/>
  <c r="K24" i="1"/>
  <c r="K16" i="1"/>
  <c r="K25" i="1"/>
  <c r="M42" i="1"/>
  <c r="M30" i="1"/>
  <c r="M31" i="1"/>
  <c r="M32" i="1"/>
  <c r="M33" i="1"/>
  <c r="M34" i="1"/>
  <c r="M35" i="1"/>
  <c r="M36" i="1"/>
  <c r="M38" i="1"/>
  <c r="M39" i="1"/>
  <c r="M40" i="1"/>
  <c r="M41" i="1"/>
  <c r="M37" i="1"/>
  <c r="M29" i="1"/>
  <c r="M17" i="1"/>
  <c r="M18" i="1"/>
  <c r="M19" i="1"/>
  <c r="M20" i="1"/>
  <c r="M21" i="1"/>
  <c r="M22" i="1"/>
  <c r="M23" i="1"/>
  <c r="M16" i="1"/>
  <c r="M25" i="1"/>
  <c r="M24" i="1"/>
  <c r="M12" i="1"/>
  <c r="M11" i="1"/>
  <c r="M4" i="1"/>
  <c r="M5" i="1"/>
  <c r="M6" i="1"/>
  <c r="M7" i="1"/>
  <c r="M8" i="1"/>
  <c r="M9" i="1"/>
  <c r="M10" i="1"/>
  <c r="M3" i="1"/>
  <c r="K9" i="1"/>
  <c r="K11" i="1"/>
  <c r="K12" i="1"/>
  <c r="K10" i="1"/>
  <c r="K4" i="1"/>
  <c r="K5" i="1"/>
  <c r="K6" i="1"/>
  <c r="K7" i="1"/>
  <c r="K8" i="1"/>
  <c r="K3" i="1"/>
  <c r="D43" i="1"/>
  <c r="D44" i="1" s="1"/>
  <c r="B44" i="1"/>
  <c r="H11" i="1"/>
  <c r="H16" i="1"/>
  <c r="H15" i="1"/>
  <c r="H14" i="1"/>
  <c r="H13" i="1"/>
  <c r="H12" i="1"/>
  <c r="D16" i="1"/>
  <c r="D15" i="1"/>
  <c r="D14" i="1"/>
  <c r="D13" i="1"/>
  <c r="D12" i="1"/>
  <c r="D11" i="1"/>
  <c r="H8" i="1"/>
  <c r="H7" i="1"/>
  <c r="H6" i="1"/>
  <c r="H5" i="1"/>
  <c r="H4" i="1"/>
  <c r="H3" i="1"/>
  <c r="D4" i="1"/>
  <c r="D5" i="1"/>
  <c r="D6" i="1"/>
  <c r="D7" i="1"/>
  <c r="D8" i="1"/>
  <c r="D3" i="1"/>
  <c r="F16" i="1"/>
  <c r="F15" i="1"/>
  <c r="F14" i="1"/>
  <c r="F13" i="1"/>
  <c r="F12" i="1"/>
  <c r="F11" i="1"/>
  <c r="B16" i="1"/>
  <c r="B15" i="1"/>
  <c r="B14" i="1"/>
  <c r="B13" i="1"/>
  <c r="B12" i="1"/>
  <c r="B11" i="1"/>
  <c r="F8" i="1"/>
  <c r="F7" i="1"/>
  <c r="F6" i="1"/>
  <c r="F5" i="1"/>
  <c r="F4" i="1"/>
  <c r="F3" i="1"/>
  <c r="B8" i="1"/>
  <c r="B7" i="1"/>
  <c r="B4" i="1"/>
  <c r="B5" i="1"/>
  <c r="B6" i="1"/>
  <c r="B3" i="1"/>
  <c r="N42" i="1"/>
  <c r="N41" i="1"/>
  <c r="N40" i="1"/>
  <c r="N39" i="1"/>
  <c r="N30" i="1"/>
  <c r="N31" i="1"/>
  <c r="N32" i="1"/>
  <c r="N33" i="1"/>
  <c r="N34" i="1"/>
  <c r="N35" i="1"/>
  <c r="N36" i="1"/>
  <c r="N37" i="1"/>
  <c r="N38" i="1"/>
  <c r="N23" i="1"/>
  <c r="N17" i="1"/>
  <c r="N18" i="1"/>
  <c r="N19" i="1"/>
  <c r="N20" i="1"/>
  <c r="N21" i="1"/>
  <c r="N22" i="1"/>
  <c r="N24" i="1"/>
  <c r="N25" i="1"/>
  <c r="N29" i="1"/>
  <c r="N16" i="1"/>
  <c r="N12" i="1"/>
  <c r="N11" i="1"/>
  <c r="N10" i="1"/>
  <c r="N4" i="1"/>
  <c r="N5" i="1"/>
  <c r="N6" i="1"/>
  <c r="N7" i="1"/>
  <c r="N8" i="1"/>
  <c r="N9" i="1"/>
  <c r="N3" i="1"/>
  <c r="G35" i="1"/>
  <c r="D36" i="1"/>
  <c r="D37" i="1"/>
  <c r="D38" i="1"/>
  <c r="D35" i="1"/>
  <c r="L45" i="1"/>
</calcChain>
</file>

<file path=xl/sharedStrings.xml><?xml version="1.0" encoding="utf-8"?>
<sst xmlns="http://schemas.openxmlformats.org/spreadsheetml/2006/main" count="59" uniqueCount="25">
  <si>
    <t>kondenzator</t>
  </si>
  <si>
    <t>A</t>
  </si>
  <si>
    <t>U (V)</t>
  </si>
  <si>
    <t>I (mA)</t>
  </si>
  <si>
    <t>dU</t>
  </si>
  <si>
    <t>dI</t>
  </si>
  <si>
    <t>C</t>
  </si>
  <si>
    <t>F</t>
  </si>
  <si>
    <t>C+F</t>
  </si>
  <si>
    <t>fluke 8808</t>
  </si>
  <si>
    <t>odpor civky</t>
  </si>
  <si>
    <t>odpor kondenzatoru F</t>
  </si>
  <si>
    <t>dR</t>
  </si>
  <si>
    <t>R (ohm)</t>
  </si>
  <si>
    <t>k (mA/V)</t>
  </si>
  <si>
    <t>microF</t>
  </si>
  <si>
    <t>bez jadra</t>
  </si>
  <si>
    <t>otevrene jadro</t>
  </si>
  <si>
    <t>uzavrene jadro</t>
  </si>
  <si>
    <t>2*pi*f</t>
  </si>
  <si>
    <t>f (Hz)</t>
  </si>
  <si>
    <t>dL</t>
  </si>
  <si>
    <t>L (mH)</t>
  </si>
  <si>
    <t>nejistota</t>
  </si>
  <si>
    <t>R_A (Mohm)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</si>
</sst>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kapacita kondenzatoru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List1!$A$3:$A$8</c:f>
              <c:numCache>
                <c:formatCode>General</c:formatCode>
                <c:ptCount val="6"/>
                <c:pt idx="0">
                  <c:v>10.34</c:v>
                </c:pt>
                <c:pt idx="1">
                  <c:v>8.51</c:v>
                </c:pt>
                <c:pt idx="2">
                  <c:v>7.09</c:v>
                </c:pt>
                <c:pt idx="3">
                  <c:v>5.64</c:v>
                </c:pt>
                <c:pt idx="4">
                  <c:v>3.6219999999999999</c:v>
                </c:pt>
                <c:pt idx="5">
                  <c:v>1.7010000000000001</c:v>
                </c:pt>
              </c:numCache>
            </c:numRef>
          </c:xVal>
          <c:yVal>
            <c:numRef>
              <c:f>List1!$C$3:$C$8</c:f>
              <c:numCache>
                <c:formatCode>General</c:formatCode>
                <c:ptCount val="6"/>
                <c:pt idx="0">
                  <c:v>2.15</c:v>
                </c:pt>
                <c:pt idx="1">
                  <c:v>1.75</c:v>
                </c:pt>
                <c:pt idx="2">
                  <c:v>1.43</c:v>
                </c:pt>
                <c:pt idx="3">
                  <c:v>1.1399999999999999</c:v>
                </c:pt>
                <c:pt idx="4">
                  <c:v>0.73</c:v>
                </c:pt>
                <c:pt idx="5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2F-4827-8211-1B2C6E582BA9}"/>
            </c:ext>
          </c:extLst>
        </c:ser>
        <c:ser>
          <c:idx val="1"/>
          <c:order val="1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List1!$E$3:$E$8</c:f>
              <c:numCache>
                <c:formatCode>General</c:formatCode>
                <c:ptCount val="6"/>
                <c:pt idx="0">
                  <c:v>10.33</c:v>
                </c:pt>
                <c:pt idx="1">
                  <c:v>8.4499999999999993</c:v>
                </c:pt>
                <c:pt idx="2">
                  <c:v>6.99</c:v>
                </c:pt>
                <c:pt idx="3">
                  <c:v>5.41</c:v>
                </c:pt>
                <c:pt idx="4">
                  <c:v>3.5230000000000001</c:v>
                </c:pt>
                <c:pt idx="5">
                  <c:v>1.577</c:v>
                </c:pt>
              </c:numCache>
            </c:numRef>
          </c:xVal>
          <c:yVal>
            <c:numRef>
              <c:f>List1!$G$3:$G$8</c:f>
              <c:numCache>
                <c:formatCode>General</c:formatCode>
                <c:ptCount val="6"/>
                <c:pt idx="0">
                  <c:v>4.4800000000000004</c:v>
                </c:pt>
                <c:pt idx="1">
                  <c:v>3.62</c:v>
                </c:pt>
                <c:pt idx="2">
                  <c:v>2.96</c:v>
                </c:pt>
                <c:pt idx="3">
                  <c:v>2.27</c:v>
                </c:pt>
                <c:pt idx="4">
                  <c:v>1.47</c:v>
                </c:pt>
                <c:pt idx="5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2F-4827-8211-1B2C6E582BA9}"/>
            </c:ext>
          </c:extLst>
        </c:ser>
        <c:ser>
          <c:idx val="2"/>
          <c:order val="2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List1!$A$11:$A$16</c:f>
              <c:numCache>
                <c:formatCode>General</c:formatCode>
                <c:ptCount val="6"/>
                <c:pt idx="0">
                  <c:v>10.119999999999999</c:v>
                </c:pt>
                <c:pt idx="1">
                  <c:v>8.6</c:v>
                </c:pt>
                <c:pt idx="2">
                  <c:v>7.02</c:v>
                </c:pt>
                <c:pt idx="3">
                  <c:v>5.65</c:v>
                </c:pt>
                <c:pt idx="4">
                  <c:v>3.5539999999999998</c:v>
                </c:pt>
                <c:pt idx="5">
                  <c:v>1.599</c:v>
                </c:pt>
              </c:numCache>
            </c:numRef>
          </c:xVal>
          <c:yVal>
            <c:numRef>
              <c:f>List1!$C$11:$C$16</c:f>
              <c:numCache>
                <c:formatCode>General</c:formatCode>
                <c:ptCount val="6"/>
                <c:pt idx="0">
                  <c:v>10.28</c:v>
                </c:pt>
                <c:pt idx="1">
                  <c:v>8.59</c:v>
                </c:pt>
                <c:pt idx="2">
                  <c:v>6.98</c:v>
                </c:pt>
                <c:pt idx="3">
                  <c:v>5.54</c:v>
                </c:pt>
                <c:pt idx="4">
                  <c:v>3.46</c:v>
                </c:pt>
                <c:pt idx="5">
                  <c:v>1.52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2F-4827-8211-1B2C6E582BA9}"/>
            </c:ext>
          </c:extLst>
        </c:ser>
        <c:ser>
          <c:idx val="3"/>
          <c:order val="3"/>
          <c:tx>
            <c:v>C+F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List1!$E$11:$E$16</c:f>
              <c:numCache>
                <c:formatCode>General</c:formatCode>
                <c:ptCount val="6"/>
                <c:pt idx="0">
                  <c:v>10.119999999999999</c:v>
                </c:pt>
                <c:pt idx="1">
                  <c:v>8.66</c:v>
                </c:pt>
                <c:pt idx="2">
                  <c:v>6.99</c:v>
                </c:pt>
                <c:pt idx="3">
                  <c:v>5.5620000000000003</c:v>
                </c:pt>
                <c:pt idx="4">
                  <c:v>3.5750000000000002</c:v>
                </c:pt>
                <c:pt idx="5">
                  <c:v>1.6839999999999999</c:v>
                </c:pt>
              </c:numCache>
            </c:numRef>
          </c:xVal>
          <c:yVal>
            <c:numRef>
              <c:f>List1!$G$11:$G$16</c:f>
              <c:numCache>
                <c:formatCode>General</c:formatCode>
                <c:ptCount val="6"/>
                <c:pt idx="0">
                  <c:v>14.38</c:v>
                </c:pt>
                <c:pt idx="1">
                  <c:v>12.22</c:v>
                </c:pt>
                <c:pt idx="2">
                  <c:v>9.73</c:v>
                </c:pt>
                <c:pt idx="3">
                  <c:v>7.75</c:v>
                </c:pt>
                <c:pt idx="4">
                  <c:v>4.92</c:v>
                </c:pt>
                <c:pt idx="5">
                  <c:v>2.2799999999999998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2F-4827-8211-1B2C6E582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387408"/>
        <c:axId val="835384528"/>
      </c:scatterChart>
      <c:valAx>
        <c:axId val="83538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35384528"/>
        <c:crosses val="autoZero"/>
        <c:crossBetween val="midCat"/>
      </c:valAx>
      <c:valAx>
        <c:axId val="8353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35387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(mH)</a:t>
            </a:r>
            <a:r>
              <a:rPr lang="cs-CZ"/>
              <a:t> bez</a:t>
            </a:r>
            <a:r>
              <a:rPr lang="cs-CZ" baseline="0"/>
              <a:t> jadra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List1!$N$2</c:f>
              <c:strCache>
                <c:ptCount val="1"/>
                <c:pt idx="0">
                  <c:v>L (mH)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35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List1!$L$3:$L$12</c:f>
              <c:numCache>
                <c:formatCode>General</c:formatCode>
                <c:ptCount val="10"/>
                <c:pt idx="0">
                  <c:v>255.6</c:v>
                </c:pt>
                <c:pt idx="1">
                  <c:v>220.8</c:v>
                </c:pt>
                <c:pt idx="2">
                  <c:v>202.3</c:v>
                </c:pt>
                <c:pt idx="3">
                  <c:v>173.7</c:v>
                </c:pt>
                <c:pt idx="4">
                  <c:v>149.80000000000001</c:v>
                </c:pt>
                <c:pt idx="5">
                  <c:v>126.5</c:v>
                </c:pt>
                <c:pt idx="6">
                  <c:v>101.6</c:v>
                </c:pt>
                <c:pt idx="7">
                  <c:v>74.099999999999994</c:v>
                </c:pt>
                <c:pt idx="8">
                  <c:v>53.52</c:v>
                </c:pt>
                <c:pt idx="9">
                  <c:v>24.12</c:v>
                </c:pt>
              </c:numCache>
            </c:numRef>
          </c:xVal>
          <c:yVal>
            <c:numRef>
              <c:f>List1!$N$3:$N$12</c:f>
              <c:numCache>
                <c:formatCode>General</c:formatCode>
                <c:ptCount val="10"/>
                <c:pt idx="0">
                  <c:v>13.500589896054429</c:v>
                </c:pt>
                <c:pt idx="1">
                  <c:v>13.472517392499672</c:v>
                </c:pt>
                <c:pt idx="2">
                  <c:v>13.474135462411144</c:v>
                </c:pt>
                <c:pt idx="3">
                  <c:v>13.494149777452796</c:v>
                </c:pt>
                <c:pt idx="4">
                  <c:v>13.478855148477555</c:v>
                </c:pt>
                <c:pt idx="5">
                  <c:v>13.487160512850878</c:v>
                </c:pt>
                <c:pt idx="6">
                  <c:v>13.464284880753191</c:v>
                </c:pt>
                <c:pt idx="7">
                  <c:v>13.500637818004645</c:v>
                </c:pt>
                <c:pt idx="8">
                  <c:v>13.493954483320445</c:v>
                </c:pt>
                <c:pt idx="9">
                  <c:v>13.478059291543516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3A-4DD9-99E2-3B5AF86FE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033696"/>
        <c:axId val="994032256"/>
      </c:scatterChart>
      <c:valAx>
        <c:axId val="99403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94032256"/>
        <c:crosses val="autoZero"/>
        <c:crossBetween val="midCat"/>
      </c:valAx>
      <c:valAx>
        <c:axId val="99403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9403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(mH) otevrene jadro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List1!$N$15</c:f>
              <c:strCache>
                <c:ptCount val="1"/>
                <c:pt idx="0">
                  <c:v>L (mH)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errBars>
            <c:errDir val="y"/>
            <c:errBarType val="both"/>
            <c:errValType val="percentage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List1!$L$16:$L$25</c:f>
              <c:numCache>
                <c:formatCode>General</c:formatCode>
                <c:ptCount val="10"/>
                <c:pt idx="0">
                  <c:v>250.6</c:v>
                </c:pt>
                <c:pt idx="1">
                  <c:v>227.6</c:v>
                </c:pt>
                <c:pt idx="2">
                  <c:v>200.1</c:v>
                </c:pt>
                <c:pt idx="3">
                  <c:v>174.8</c:v>
                </c:pt>
                <c:pt idx="4">
                  <c:v>149</c:v>
                </c:pt>
                <c:pt idx="5">
                  <c:v>125.5</c:v>
                </c:pt>
                <c:pt idx="6">
                  <c:v>100</c:v>
                </c:pt>
                <c:pt idx="7">
                  <c:v>74.2</c:v>
                </c:pt>
                <c:pt idx="8">
                  <c:v>42.34</c:v>
                </c:pt>
                <c:pt idx="9">
                  <c:v>22.08</c:v>
                </c:pt>
              </c:numCache>
            </c:numRef>
          </c:xVal>
          <c:yVal>
            <c:numRef>
              <c:f>List1!$N$16:$N$25</c:f>
              <c:numCache>
                <c:formatCode>General</c:formatCode>
                <c:ptCount val="10"/>
                <c:pt idx="0">
                  <c:v>70.371062530501916</c:v>
                </c:pt>
                <c:pt idx="1">
                  <c:v>70.347311273893354</c:v>
                </c:pt>
                <c:pt idx="2">
                  <c:v>70.272721520985939</c:v>
                </c:pt>
                <c:pt idx="3">
                  <c:v>70.14006759805639</c:v>
                </c:pt>
                <c:pt idx="4">
                  <c:v>70.007145496431107</c:v>
                </c:pt>
                <c:pt idx="5">
                  <c:v>69.92498594645545</c:v>
                </c:pt>
                <c:pt idx="6">
                  <c:v>69.779180024817521</c:v>
                </c:pt>
                <c:pt idx="7">
                  <c:v>69.646121987106085</c:v>
                </c:pt>
                <c:pt idx="8">
                  <c:v>69.681407790551177</c:v>
                </c:pt>
                <c:pt idx="9">
                  <c:v>69.016864006683065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53-4804-BBD9-CEA106507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061488"/>
        <c:axId val="895061968"/>
      </c:scatterChart>
      <c:valAx>
        <c:axId val="89506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95061968"/>
        <c:crosses val="autoZero"/>
        <c:crossBetween val="midCat"/>
      </c:valAx>
      <c:valAx>
        <c:axId val="8950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950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(mH) uzavrene jadro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List1!$N$28</c:f>
              <c:strCache>
                <c:ptCount val="1"/>
                <c:pt idx="0">
                  <c:v>L (mH)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List1!$L$29:$L$42</c:f>
              <c:numCache>
                <c:formatCode>General</c:formatCode>
                <c:ptCount val="14"/>
                <c:pt idx="0">
                  <c:v>215.6</c:v>
                </c:pt>
                <c:pt idx="1">
                  <c:v>192.3</c:v>
                </c:pt>
                <c:pt idx="2">
                  <c:v>170.2</c:v>
                </c:pt>
                <c:pt idx="3">
                  <c:v>148.30000000000001</c:v>
                </c:pt>
                <c:pt idx="4">
                  <c:v>126.5</c:v>
                </c:pt>
                <c:pt idx="5">
                  <c:v>103.8</c:v>
                </c:pt>
                <c:pt idx="6">
                  <c:v>82</c:v>
                </c:pt>
                <c:pt idx="7">
                  <c:v>60.5</c:v>
                </c:pt>
                <c:pt idx="8">
                  <c:v>48.18</c:v>
                </c:pt>
                <c:pt idx="9">
                  <c:v>35.56</c:v>
                </c:pt>
                <c:pt idx="10">
                  <c:v>21.19</c:v>
                </c:pt>
                <c:pt idx="11">
                  <c:v>10.71</c:v>
                </c:pt>
                <c:pt idx="12">
                  <c:v>4.7300000000000004</c:v>
                </c:pt>
                <c:pt idx="13">
                  <c:v>71.900000000000006</c:v>
                </c:pt>
              </c:numCache>
            </c:numRef>
          </c:xVal>
          <c:yVal>
            <c:numRef>
              <c:f>List1!$N$29:$N$42</c:f>
              <c:numCache>
                <c:formatCode>General</c:formatCode>
                <c:ptCount val="14"/>
                <c:pt idx="0">
                  <c:v>1743.5961876027409</c:v>
                </c:pt>
                <c:pt idx="1">
                  <c:v>1835.6824490816189</c:v>
                </c:pt>
                <c:pt idx="2">
                  <c:v>1930.0381625887642</c:v>
                </c:pt>
                <c:pt idx="3">
                  <c:v>2030.4680592038183</c:v>
                </c:pt>
                <c:pt idx="4">
                  <c:v>2143.8562066370696</c:v>
                </c:pt>
                <c:pt idx="5">
                  <c:v>2256.9783378875045</c:v>
                </c:pt>
                <c:pt idx="6">
                  <c:v>2352.3717533129875</c:v>
                </c:pt>
                <c:pt idx="7">
                  <c:v>2373.3658461550122</c:v>
                </c:pt>
                <c:pt idx="8">
                  <c:v>2320.9108449293713</c:v>
                </c:pt>
                <c:pt idx="9">
                  <c:v>2120.5563313325829</c:v>
                </c:pt>
                <c:pt idx="10">
                  <c:v>1586.2681912429719</c:v>
                </c:pt>
                <c:pt idx="11">
                  <c:v>1054.4588061879763</c:v>
                </c:pt>
                <c:pt idx="12">
                  <c:v>761.74101839229468</c:v>
                </c:pt>
                <c:pt idx="13">
                  <c:v>2367.6076254475088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A-454D-BB3A-451667F06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688688"/>
        <c:axId val="993689168"/>
      </c:scatterChart>
      <c:valAx>
        <c:axId val="99368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93689168"/>
        <c:crosses val="autoZero"/>
        <c:crossBetween val="midCat"/>
      </c:valAx>
      <c:valAx>
        <c:axId val="9936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9368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16</xdr:row>
      <xdr:rowOff>19050</xdr:rowOff>
    </xdr:from>
    <xdr:to>
      <xdr:col>8</xdr:col>
      <xdr:colOff>7620</xdr:colOff>
      <xdr:row>31</xdr:row>
      <xdr:rowOff>19050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C8811B37-8F61-6BCF-FC40-26105282E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144780</xdr:colOff>
      <xdr:row>0</xdr:row>
      <xdr:rowOff>87630</xdr:rowOff>
    </xdr:from>
    <xdr:to>
      <xdr:col>25</xdr:col>
      <xdr:colOff>449580</xdr:colOff>
      <xdr:row>15</xdr:row>
      <xdr:rowOff>87630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A7A853E6-3530-7308-E2D5-EDF7CB6E1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121920</xdr:colOff>
      <xdr:row>16</xdr:row>
      <xdr:rowOff>34290</xdr:rowOff>
    </xdr:from>
    <xdr:to>
      <xdr:col>25</xdr:col>
      <xdr:colOff>426720</xdr:colOff>
      <xdr:row>31</xdr:row>
      <xdr:rowOff>34290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A29AA0D8-5485-35AA-70B5-89E6E42C6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167640</xdr:colOff>
      <xdr:row>31</xdr:row>
      <xdr:rowOff>148590</xdr:rowOff>
    </xdr:from>
    <xdr:to>
      <xdr:col>25</xdr:col>
      <xdr:colOff>472440</xdr:colOff>
      <xdr:row>46</xdr:row>
      <xdr:rowOff>148590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4B2829B-2EAA-41B3-59B6-050FE2AC8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E037-E5ED-4835-9E1F-1DDAB1A41D59}">
  <dimension ref="A1:O45"/>
  <sheetViews>
    <sheetView tabSelected="1" topLeftCell="A31" zoomScaleNormal="100" workbookViewId="0">
      <selection activeCell="F39" sqref="F39"/>
    </sheetView>
  </sheetViews>
  <sheetFormatPr defaultRowHeight="14.4" x14ac:dyDescent="0.3"/>
  <cols>
    <col min="6" max="6" width="9.33203125" customWidth="1"/>
    <col min="9" max="9" width="7.88671875" customWidth="1"/>
    <col min="10" max="10" width="9.77734375" customWidth="1"/>
    <col min="11" max="11" width="9.44140625" customWidth="1"/>
    <col min="15" max="15" width="9.5546875" customWidth="1"/>
  </cols>
  <sheetData>
    <row r="1" spans="1:15" x14ac:dyDescent="0.3">
      <c r="A1" t="s">
        <v>1</v>
      </c>
      <c r="E1" t="s">
        <v>6</v>
      </c>
      <c r="J1" t="s">
        <v>16</v>
      </c>
    </row>
    <row r="2" spans="1:15" x14ac:dyDescent="0.3">
      <c r="A2" t="s">
        <v>2</v>
      </c>
      <c r="B2" t="s">
        <v>4</v>
      </c>
      <c r="C2" t="s">
        <v>3</v>
      </c>
      <c r="D2" t="s">
        <v>5</v>
      </c>
      <c r="E2" t="s">
        <v>2</v>
      </c>
      <c r="F2" t="s">
        <v>4</v>
      </c>
      <c r="G2" t="s">
        <v>3</v>
      </c>
      <c r="H2" t="s">
        <v>5</v>
      </c>
      <c r="J2" t="s">
        <v>2</v>
      </c>
      <c r="K2" t="s">
        <v>4</v>
      </c>
      <c r="L2" t="s">
        <v>3</v>
      </c>
      <c r="M2" t="s">
        <v>5</v>
      </c>
      <c r="N2" t="s">
        <v>22</v>
      </c>
      <c r="O2" t="s">
        <v>21</v>
      </c>
    </row>
    <row r="3" spans="1:15" x14ac:dyDescent="0.3">
      <c r="A3">
        <v>10.34</v>
      </c>
      <c r="B3">
        <f>0.01*A3+0.03</f>
        <v>0.13340000000000002</v>
      </c>
      <c r="C3">
        <v>2.15</v>
      </c>
      <c r="D3">
        <f>0.015*C3+0.03</f>
        <v>6.225E-2</v>
      </c>
      <c r="E3">
        <v>10.33</v>
      </c>
      <c r="F3">
        <f>0.01*E3+0.03</f>
        <v>0.1333</v>
      </c>
      <c r="G3">
        <v>4.4800000000000004</v>
      </c>
      <c r="H3">
        <f>0.015*G3+0.03</f>
        <v>9.7200000000000009E-2</v>
      </c>
      <c r="J3">
        <v>1.288</v>
      </c>
      <c r="K3">
        <f>0.01*J3+0.003</f>
        <v>1.5880000000000002E-2</v>
      </c>
      <c r="L3">
        <v>255.6</v>
      </c>
      <c r="M3">
        <f>0.015*L3+0.3</f>
        <v>4.1339999999999995</v>
      </c>
      <c r="N3">
        <f t="shared" ref="N3:N12" si="0">SQRT((J3/L3*1000)^2-$K$45^2)/$G$35*1000</f>
        <v>13.500589896054429</v>
      </c>
    </row>
    <row r="4" spans="1:15" x14ac:dyDescent="0.3">
      <c r="A4">
        <v>8.51</v>
      </c>
      <c r="B4">
        <f t="shared" ref="B4:B8" si="1">0.01*A4+0.03</f>
        <v>0.11509999999999999</v>
      </c>
      <c r="C4">
        <v>1.75</v>
      </c>
      <c r="D4">
        <f t="shared" ref="D4:D8" si="2">0.015*C4+0.03</f>
        <v>5.6249999999999994E-2</v>
      </c>
      <c r="E4">
        <v>8.4499999999999993</v>
      </c>
      <c r="F4">
        <f t="shared" ref="F4:F6" si="3">0.01*E4+0.03</f>
        <v>0.11449999999999999</v>
      </c>
      <c r="G4">
        <v>3.62</v>
      </c>
      <c r="H4">
        <f t="shared" ref="H4:H8" si="4">0.015*G4+0.03</f>
        <v>8.43E-2</v>
      </c>
      <c r="J4">
        <v>1.111</v>
      </c>
      <c r="K4">
        <f t="shared" ref="K4:K12" si="5">0.01*J4+0.003</f>
        <v>1.4110000000000001E-2</v>
      </c>
      <c r="L4">
        <v>220.8</v>
      </c>
      <c r="M4">
        <f t="shared" ref="M4:M10" si="6">0.015*L4+0.3</f>
        <v>3.6119999999999997</v>
      </c>
      <c r="N4">
        <f t="shared" si="0"/>
        <v>13.472517392499672</v>
      </c>
    </row>
    <row r="5" spans="1:15" x14ac:dyDescent="0.3">
      <c r="A5">
        <v>7.09</v>
      </c>
      <c r="B5">
        <f t="shared" si="1"/>
        <v>0.1009</v>
      </c>
      <c r="C5">
        <v>1.43</v>
      </c>
      <c r="D5">
        <f t="shared" si="2"/>
        <v>5.1449999999999996E-2</v>
      </c>
      <c r="E5">
        <v>6.99</v>
      </c>
      <c r="F5">
        <f t="shared" si="3"/>
        <v>9.9900000000000003E-2</v>
      </c>
      <c r="G5">
        <v>2.96</v>
      </c>
      <c r="H5">
        <f t="shared" si="4"/>
        <v>7.4399999999999994E-2</v>
      </c>
      <c r="J5">
        <v>1.018</v>
      </c>
      <c r="K5">
        <f t="shared" si="5"/>
        <v>1.3180000000000001E-2</v>
      </c>
      <c r="L5">
        <v>202.3</v>
      </c>
      <c r="M5">
        <f t="shared" si="6"/>
        <v>3.3344999999999998</v>
      </c>
      <c r="N5">
        <f t="shared" si="0"/>
        <v>13.474135462411144</v>
      </c>
    </row>
    <row r="6" spans="1:15" x14ac:dyDescent="0.3">
      <c r="A6">
        <v>5.64</v>
      </c>
      <c r="B6">
        <f t="shared" si="1"/>
        <v>8.6400000000000005E-2</v>
      </c>
      <c r="C6">
        <v>1.1399999999999999</v>
      </c>
      <c r="D6">
        <f t="shared" si="2"/>
        <v>4.7099999999999996E-2</v>
      </c>
      <c r="E6">
        <v>5.41</v>
      </c>
      <c r="F6">
        <f t="shared" si="3"/>
        <v>8.4100000000000008E-2</v>
      </c>
      <c r="G6">
        <v>2.27</v>
      </c>
      <c r="H6">
        <f t="shared" si="4"/>
        <v>6.4049999999999996E-2</v>
      </c>
      <c r="J6">
        <v>0.875</v>
      </c>
      <c r="K6">
        <f t="shared" si="5"/>
        <v>1.175E-2</v>
      </c>
      <c r="L6">
        <v>173.7</v>
      </c>
      <c r="M6">
        <f t="shared" si="6"/>
        <v>2.9054999999999995</v>
      </c>
      <c r="N6">
        <f t="shared" si="0"/>
        <v>13.494149777452796</v>
      </c>
    </row>
    <row r="7" spans="1:15" x14ac:dyDescent="0.3">
      <c r="A7">
        <v>3.6219999999999999</v>
      </c>
      <c r="B7">
        <f>0.01*A7+0.003</f>
        <v>3.9220000000000005E-2</v>
      </c>
      <c r="C7">
        <v>0.73</v>
      </c>
      <c r="D7">
        <f t="shared" si="2"/>
        <v>4.095E-2</v>
      </c>
      <c r="E7">
        <v>3.5230000000000001</v>
      </c>
      <c r="F7">
        <f>0.01*E7+0.003</f>
        <v>3.8230000000000007E-2</v>
      </c>
      <c r="G7">
        <v>1.47</v>
      </c>
      <c r="H7">
        <f t="shared" si="4"/>
        <v>5.2049999999999999E-2</v>
      </c>
      <c r="J7">
        <v>0.754</v>
      </c>
      <c r="K7">
        <f t="shared" si="5"/>
        <v>1.0540000000000001E-2</v>
      </c>
      <c r="L7">
        <v>149.80000000000001</v>
      </c>
      <c r="M7">
        <f t="shared" si="6"/>
        <v>2.5469999999999997</v>
      </c>
      <c r="N7">
        <f t="shared" si="0"/>
        <v>13.478855148477555</v>
      </c>
    </row>
    <row r="8" spans="1:15" x14ac:dyDescent="0.3">
      <c r="A8">
        <v>1.7010000000000001</v>
      </c>
      <c r="B8">
        <f>0.01*A8+0.003</f>
        <v>2.001E-2</v>
      </c>
      <c r="C8">
        <v>0.34</v>
      </c>
      <c r="D8">
        <f t="shared" si="2"/>
        <v>3.5099999999999999E-2</v>
      </c>
      <c r="E8">
        <v>1.577</v>
      </c>
      <c r="F8">
        <f>0.01*E8+0.003</f>
        <v>1.8769999999999998E-2</v>
      </c>
      <c r="G8">
        <v>0.65</v>
      </c>
      <c r="H8">
        <f t="shared" si="4"/>
        <v>3.9750000000000001E-2</v>
      </c>
      <c r="J8">
        <v>0.63700000000000001</v>
      </c>
      <c r="K8">
        <f t="shared" si="5"/>
        <v>9.3699999999999999E-3</v>
      </c>
      <c r="L8">
        <v>126.5</v>
      </c>
      <c r="M8">
        <f t="shared" si="6"/>
        <v>2.1974999999999998</v>
      </c>
      <c r="N8">
        <f t="shared" si="0"/>
        <v>13.487160512850878</v>
      </c>
    </row>
    <row r="9" spans="1:15" x14ac:dyDescent="0.3">
      <c r="A9" t="s">
        <v>7</v>
      </c>
      <c r="E9" t="s">
        <v>8</v>
      </c>
      <c r="J9">
        <v>0.51100000000000001</v>
      </c>
      <c r="K9">
        <f>0.01*J9+0.0003</f>
        <v>5.4099999999999999E-3</v>
      </c>
      <c r="L9">
        <v>101.6</v>
      </c>
      <c r="M9">
        <f t="shared" si="6"/>
        <v>1.8239999999999998</v>
      </c>
      <c r="N9">
        <f t="shared" si="0"/>
        <v>13.464284880753191</v>
      </c>
    </row>
    <row r="10" spans="1:15" x14ac:dyDescent="0.3">
      <c r="A10" t="s">
        <v>2</v>
      </c>
      <c r="B10" t="s">
        <v>4</v>
      </c>
      <c r="C10" t="s">
        <v>3</v>
      </c>
      <c r="D10" t="s">
        <v>5</v>
      </c>
      <c r="E10" t="s">
        <v>2</v>
      </c>
      <c r="F10" t="s">
        <v>4</v>
      </c>
      <c r="G10" t="s">
        <v>3</v>
      </c>
      <c r="H10" t="s">
        <v>5</v>
      </c>
      <c r="J10">
        <v>0.37340000000000001</v>
      </c>
      <c r="K10">
        <f>0.01*J10+0.0003</f>
        <v>4.0340000000000003E-3</v>
      </c>
      <c r="L10">
        <v>74.099999999999994</v>
      </c>
      <c r="M10">
        <f t="shared" si="6"/>
        <v>1.4115</v>
      </c>
      <c r="N10">
        <f t="shared" si="0"/>
        <v>13.500637818004645</v>
      </c>
    </row>
    <row r="11" spans="1:15" x14ac:dyDescent="0.3">
      <c r="A11">
        <v>10.119999999999999</v>
      </c>
      <c r="B11">
        <f>0.01*A11+0.03</f>
        <v>0.13119999999999998</v>
      </c>
      <c r="C11">
        <v>10.28</v>
      </c>
      <c r="D11">
        <f>0.015*C11+0.03</f>
        <v>0.18419999999999997</v>
      </c>
      <c r="E11">
        <v>10.119999999999999</v>
      </c>
      <c r="F11">
        <f>0.01*E11+0.03</f>
        <v>0.13119999999999998</v>
      </c>
      <c r="G11">
        <v>14.38</v>
      </c>
      <c r="H11">
        <f>0.015*G11+0.03</f>
        <v>0.2457</v>
      </c>
      <c r="J11">
        <v>0.26960000000000001</v>
      </c>
      <c r="K11">
        <f t="shared" ref="K11:K12" si="7">0.01*J11+0.0003</f>
        <v>2.996E-3</v>
      </c>
      <c r="L11">
        <v>53.52</v>
      </c>
      <c r="M11">
        <f>0.015*L11+0.03</f>
        <v>0.8328000000000001</v>
      </c>
      <c r="N11">
        <f t="shared" si="0"/>
        <v>13.493954483320445</v>
      </c>
    </row>
    <row r="12" spans="1:15" x14ac:dyDescent="0.3">
      <c r="A12">
        <v>8.6</v>
      </c>
      <c r="B12">
        <f t="shared" ref="B12:B14" si="8">0.01*A12+0.03</f>
        <v>0.11599999999999999</v>
      </c>
      <c r="C12">
        <v>8.59</v>
      </c>
      <c r="D12">
        <f t="shared" ref="D12:D16" si="9">0.015*C12+0.03</f>
        <v>0.15884999999999999</v>
      </c>
      <c r="E12">
        <v>8.66</v>
      </c>
      <c r="F12">
        <f t="shared" ref="F12:F14" si="10">0.01*E12+0.03</f>
        <v>0.1166</v>
      </c>
      <c r="G12">
        <v>12.22</v>
      </c>
      <c r="H12">
        <f t="shared" ref="H12:H16" si="11">0.015*G12+0.03</f>
        <v>0.21329999999999999</v>
      </c>
      <c r="J12">
        <v>0.12139999999999999</v>
      </c>
      <c r="K12">
        <f t="shared" si="7"/>
        <v>1.5139999999999999E-3</v>
      </c>
      <c r="L12">
        <v>24.12</v>
      </c>
      <c r="M12">
        <f>0.015*L12+0.03</f>
        <v>0.39180000000000004</v>
      </c>
      <c r="N12">
        <f t="shared" si="0"/>
        <v>13.478059291543516</v>
      </c>
    </row>
    <row r="13" spans="1:15" x14ac:dyDescent="0.3">
      <c r="A13">
        <v>7.02</v>
      </c>
      <c r="B13">
        <f t="shared" si="8"/>
        <v>0.1002</v>
      </c>
      <c r="C13">
        <v>6.98</v>
      </c>
      <c r="D13">
        <f t="shared" si="9"/>
        <v>0.13469999999999999</v>
      </c>
      <c r="E13">
        <v>6.99</v>
      </c>
      <c r="F13">
        <f t="shared" si="10"/>
        <v>9.9900000000000003E-2</v>
      </c>
      <c r="G13">
        <v>9.73</v>
      </c>
      <c r="H13">
        <f t="shared" si="11"/>
        <v>0.17595</v>
      </c>
    </row>
    <row r="14" spans="1:15" x14ac:dyDescent="0.3">
      <c r="A14">
        <v>5.65</v>
      </c>
      <c r="B14">
        <f t="shared" si="8"/>
        <v>8.6499999999999994E-2</v>
      </c>
      <c r="C14">
        <v>5.54</v>
      </c>
      <c r="D14">
        <f t="shared" si="9"/>
        <v>0.11309999999999999</v>
      </c>
      <c r="E14">
        <v>5.5620000000000003</v>
      </c>
      <c r="F14">
        <f t="shared" si="10"/>
        <v>8.5620000000000002E-2</v>
      </c>
      <c r="G14">
        <v>7.75</v>
      </c>
      <c r="H14">
        <f t="shared" si="11"/>
        <v>0.14624999999999999</v>
      </c>
      <c r="J14" t="s">
        <v>17</v>
      </c>
    </row>
    <row r="15" spans="1:15" x14ac:dyDescent="0.3">
      <c r="A15">
        <v>3.5539999999999998</v>
      </c>
      <c r="B15">
        <f>0.01*A15+0.003</f>
        <v>3.8540000000000005E-2</v>
      </c>
      <c r="C15">
        <v>3.46</v>
      </c>
      <c r="D15">
        <f t="shared" si="9"/>
        <v>8.1900000000000001E-2</v>
      </c>
      <c r="E15">
        <v>3.5750000000000002</v>
      </c>
      <c r="F15">
        <f>0.01*E15+0.003</f>
        <v>3.8750000000000007E-2</v>
      </c>
      <c r="G15">
        <v>4.92</v>
      </c>
      <c r="H15">
        <f t="shared" si="11"/>
        <v>0.10379999999999999</v>
      </c>
      <c r="J15" t="s">
        <v>2</v>
      </c>
      <c r="K15" t="s">
        <v>4</v>
      </c>
      <c r="L15" t="s">
        <v>3</v>
      </c>
      <c r="M15" t="s">
        <v>5</v>
      </c>
      <c r="N15" t="s">
        <v>22</v>
      </c>
      <c r="O15" t="s">
        <v>21</v>
      </c>
    </row>
    <row r="16" spans="1:15" x14ac:dyDescent="0.3">
      <c r="A16">
        <v>1.599</v>
      </c>
      <c r="B16">
        <f>0.01*A16+0.003</f>
        <v>1.899E-2</v>
      </c>
      <c r="C16">
        <v>1.52</v>
      </c>
      <c r="D16">
        <f t="shared" si="9"/>
        <v>5.28E-2</v>
      </c>
      <c r="E16">
        <v>1.6839999999999999</v>
      </c>
      <c r="F16">
        <f>0.01*E16+0.003</f>
        <v>1.984E-2</v>
      </c>
      <c r="G16">
        <v>2.2799999999999998</v>
      </c>
      <c r="H16">
        <f t="shared" si="11"/>
        <v>6.4199999999999993E-2</v>
      </c>
      <c r="J16">
        <v>5.5819999999999999</v>
      </c>
      <c r="K16">
        <f t="shared" ref="K16:K24" si="12">0.01*J16+0.003</f>
        <v>5.8820000000000004E-2</v>
      </c>
      <c r="L16">
        <v>250.6</v>
      </c>
      <c r="M16">
        <f t="shared" ref="M16:M23" si="13">0.015*L16+0.3</f>
        <v>4.0590000000000002</v>
      </c>
      <c r="N16">
        <f t="shared" ref="N16:N25" si="14">SQRT((J16/L16*1000)^2-$K$45^2)/$G$35*1000</f>
        <v>70.371062530501916</v>
      </c>
    </row>
    <row r="17" spans="10:15" x14ac:dyDescent="0.3">
      <c r="J17">
        <v>5.0679999999999996</v>
      </c>
      <c r="K17">
        <f t="shared" si="12"/>
        <v>5.3679999999999999E-2</v>
      </c>
      <c r="L17">
        <v>227.6</v>
      </c>
      <c r="M17">
        <f t="shared" si="13"/>
        <v>3.7139999999999995</v>
      </c>
      <c r="N17">
        <f t="shared" si="14"/>
        <v>70.347311273893354</v>
      </c>
    </row>
    <row r="18" spans="10:15" x14ac:dyDescent="0.3">
      <c r="J18">
        <v>4.4509999999999996</v>
      </c>
      <c r="K18">
        <f t="shared" si="12"/>
        <v>4.7509999999999997E-2</v>
      </c>
      <c r="L18">
        <v>200.1</v>
      </c>
      <c r="M18">
        <f t="shared" si="13"/>
        <v>3.3014999999999994</v>
      </c>
      <c r="N18">
        <f t="shared" si="14"/>
        <v>70.272721520985939</v>
      </c>
    </row>
    <row r="19" spans="10:15" x14ac:dyDescent="0.3">
      <c r="J19">
        <v>3.8809999999999998</v>
      </c>
      <c r="K19">
        <f t="shared" si="12"/>
        <v>4.181E-2</v>
      </c>
      <c r="L19">
        <v>174.8</v>
      </c>
      <c r="M19">
        <f t="shared" si="13"/>
        <v>2.9219999999999997</v>
      </c>
      <c r="N19">
        <f t="shared" si="14"/>
        <v>70.14006759805639</v>
      </c>
    </row>
    <row r="20" spans="10:15" x14ac:dyDescent="0.3">
      <c r="J20">
        <v>3.302</v>
      </c>
      <c r="K20">
        <f t="shared" si="12"/>
        <v>3.6020000000000003E-2</v>
      </c>
      <c r="L20">
        <v>149</v>
      </c>
      <c r="M20">
        <f t="shared" si="13"/>
        <v>2.5349999999999997</v>
      </c>
      <c r="N20">
        <f t="shared" si="14"/>
        <v>70.007145496431107</v>
      </c>
    </row>
    <row r="21" spans="10:15" x14ac:dyDescent="0.3">
      <c r="J21">
        <v>2.778</v>
      </c>
      <c r="K21">
        <f t="shared" si="12"/>
        <v>3.0779999999999998E-2</v>
      </c>
      <c r="L21">
        <v>125.5</v>
      </c>
      <c r="M21">
        <f t="shared" si="13"/>
        <v>2.1824999999999997</v>
      </c>
      <c r="N21">
        <f t="shared" si="14"/>
        <v>69.92498594645545</v>
      </c>
    </row>
    <row r="22" spans="10:15" x14ac:dyDescent="0.3">
      <c r="J22">
        <v>2.2090000000000001</v>
      </c>
      <c r="K22">
        <f t="shared" si="12"/>
        <v>2.5090000000000001E-2</v>
      </c>
      <c r="L22">
        <v>100</v>
      </c>
      <c r="M22">
        <f t="shared" si="13"/>
        <v>1.8</v>
      </c>
      <c r="N22">
        <f t="shared" si="14"/>
        <v>69.779180024817521</v>
      </c>
    </row>
    <row r="23" spans="10:15" x14ac:dyDescent="0.3">
      <c r="J23">
        <v>1.6359999999999999</v>
      </c>
      <c r="K23">
        <f t="shared" si="12"/>
        <v>1.9359999999999999E-2</v>
      </c>
      <c r="L23">
        <v>74.2</v>
      </c>
      <c r="M23">
        <f t="shared" si="13"/>
        <v>1.413</v>
      </c>
      <c r="N23">
        <f t="shared" si="14"/>
        <v>69.646121987106085</v>
      </c>
    </row>
    <row r="24" spans="10:15" x14ac:dyDescent="0.3">
      <c r="J24">
        <v>0.93400000000000005</v>
      </c>
      <c r="K24">
        <f t="shared" si="12"/>
        <v>1.234E-2</v>
      </c>
      <c r="L24">
        <v>42.34</v>
      </c>
      <c r="M24">
        <f>0.015*L24+0.03</f>
        <v>0.66510000000000002</v>
      </c>
      <c r="N24">
        <f t="shared" si="14"/>
        <v>69.681407790551177</v>
      </c>
    </row>
    <row r="25" spans="10:15" x14ac:dyDescent="0.3">
      <c r="J25">
        <v>0.48249999999999998</v>
      </c>
      <c r="K25">
        <f>0.01*J25+0.0003</f>
        <v>5.1250000000000002E-3</v>
      </c>
      <c r="L25">
        <v>22.08</v>
      </c>
      <c r="M25">
        <f>0.015*L25+0.03</f>
        <v>0.36119999999999997</v>
      </c>
      <c r="N25">
        <f t="shared" si="14"/>
        <v>69.016864006683065</v>
      </c>
    </row>
    <row r="27" spans="10:15" x14ac:dyDescent="0.3">
      <c r="J27" t="s">
        <v>18</v>
      </c>
    </row>
    <row r="28" spans="10:15" x14ac:dyDescent="0.3">
      <c r="J28" t="s">
        <v>2</v>
      </c>
      <c r="K28" t="s">
        <v>4</v>
      </c>
      <c r="L28" t="s">
        <v>3</v>
      </c>
      <c r="M28" t="s">
        <v>5</v>
      </c>
      <c r="N28" t="s">
        <v>22</v>
      </c>
      <c r="O28" t="s">
        <v>21</v>
      </c>
    </row>
    <row r="29" spans="10:15" x14ac:dyDescent="0.3">
      <c r="J29">
        <v>118.1</v>
      </c>
      <c r="K29">
        <f>0.01*J29+0.3</f>
        <v>1.4810000000000001</v>
      </c>
      <c r="L29">
        <v>215.6</v>
      </c>
      <c r="M29">
        <f t="shared" ref="M29:M36" si="15">0.015*L29+0.3</f>
        <v>3.5339999999999998</v>
      </c>
      <c r="N29">
        <f t="shared" ref="N29:N42" si="16">SQRT((J29/L29*1000)^2-$K$45^2)/$G$35*1000</f>
        <v>1743.5961876027409</v>
      </c>
    </row>
    <row r="30" spans="10:15" x14ac:dyDescent="0.3">
      <c r="J30">
        <v>110.9</v>
      </c>
      <c r="K30">
        <f t="shared" ref="K30:K35" si="17">0.01*J30+0.3</f>
        <v>1.409</v>
      </c>
      <c r="L30">
        <v>192.3</v>
      </c>
      <c r="M30">
        <f t="shared" si="15"/>
        <v>3.1844999999999999</v>
      </c>
      <c r="N30">
        <f t="shared" si="16"/>
        <v>1835.6824490816189</v>
      </c>
    </row>
    <row r="31" spans="10:15" x14ac:dyDescent="0.3">
      <c r="J31">
        <v>103.2</v>
      </c>
      <c r="K31">
        <f t="shared" si="17"/>
        <v>1.3320000000000001</v>
      </c>
      <c r="L31">
        <v>170.2</v>
      </c>
      <c r="M31">
        <f t="shared" si="15"/>
        <v>2.8529999999999998</v>
      </c>
      <c r="N31">
        <f t="shared" si="16"/>
        <v>1930.0381625887642</v>
      </c>
    </row>
    <row r="32" spans="10:15" x14ac:dyDescent="0.3">
      <c r="J32">
        <v>94.6</v>
      </c>
      <c r="K32">
        <f t="shared" si="17"/>
        <v>1.246</v>
      </c>
      <c r="L32">
        <v>148.30000000000001</v>
      </c>
      <c r="M32">
        <f t="shared" si="15"/>
        <v>2.5244999999999997</v>
      </c>
      <c r="N32">
        <f t="shared" si="16"/>
        <v>2030.4680592038183</v>
      </c>
    </row>
    <row r="33" spans="1:14" x14ac:dyDescent="0.3">
      <c r="J33">
        <v>85.2</v>
      </c>
      <c r="K33">
        <f t="shared" si="17"/>
        <v>1.1520000000000001</v>
      </c>
      <c r="L33">
        <v>126.5</v>
      </c>
      <c r="M33">
        <f t="shared" si="15"/>
        <v>2.1974999999999998</v>
      </c>
      <c r="N33">
        <f t="shared" si="16"/>
        <v>2143.8562066370696</v>
      </c>
    </row>
    <row r="34" spans="1:14" x14ac:dyDescent="0.3">
      <c r="A34" s="1" t="s">
        <v>0</v>
      </c>
      <c r="B34" s="1"/>
      <c r="C34" t="s">
        <v>14</v>
      </c>
      <c r="D34" t="s">
        <v>15</v>
      </c>
      <c r="F34" t="s">
        <v>20</v>
      </c>
      <c r="G34" t="s">
        <v>19</v>
      </c>
      <c r="J34">
        <v>73.599999999999994</v>
      </c>
      <c r="K34">
        <f t="shared" si="17"/>
        <v>1.036</v>
      </c>
      <c r="L34">
        <v>103.8</v>
      </c>
      <c r="M34">
        <f t="shared" si="15"/>
        <v>1.857</v>
      </c>
      <c r="N34">
        <f t="shared" si="16"/>
        <v>2256.9783378875045</v>
      </c>
    </row>
    <row r="35" spans="1:14" x14ac:dyDescent="0.3">
      <c r="B35" t="s">
        <v>1</v>
      </c>
      <c r="C35">
        <v>0.2089</v>
      </c>
      <c r="D35">
        <f>C35/$G$35*1000</f>
        <v>0.66494935299775415</v>
      </c>
      <c r="F35">
        <v>50</v>
      </c>
      <c r="G35">
        <f>2*3.14159265*F35</f>
        <v>314.159265</v>
      </c>
      <c r="J35">
        <v>60.6</v>
      </c>
      <c r="K35">
        <f t="shared" si="17"/>
        <v>0.90599999999999992</v>
      </c>
      <c r="L35">
        <v>82</v>
      </c>
      <c r="M35">
        <f t="shared" si="15"/>
        <v>1.53</v>
      </c>
      <c r="N35">
        <f t="shared" si="16"/>
        <v>2352.3717533129875</v>
      </c>
    </row>
    <row r="36" spans="1:14" x14ac:dyDescent="0.3">
      <c r="B36" t="s">
        <v>6</v>
      </c>
      <c r="C36">
        <v>0.437</v>
      </c>
      <c r="D36">
        <f>C36/$G$35*1000</f>
        <v>1.3910142042126308</v>
      </c>
      <c r="F36">
        <v>5.0000000000000001E-3</v>
      </c>
      <c r="J36">
        <v>45.11</v>
      </c>
      <c r="K36">
        <f>0.01*J36+0.03</f>
        <v>0.48109999999999997</v>
      </c>
      <c r="L36">
        <v>60.5</v>
      </c>
      <c r="M36">
        <f t="shared" si="15"/>
        <v>1.2075</v>
      </c>
      <c r="N36">
        <f t="shared" si="16"/>
        <v>2373.3658461550122</v>
      </c>
    </row>
    <row r="37" spans="1:14" x14ac:dyDescent="0.3">
      <c r="B37" t="s">
        <v>7</v>
      </c>
      <c r="C37">
        <v>1.0244</v>
      </c>
      <c r="D37">
        <f>C37/$G$35*1000</f>
        <v>3.2607664777927208</v>
      </c>
      <c r="J37">
        <v>35.130000000000003</v>
      </c>
      <c r="K37">
        <f t="shared" ref="K37:K39" si="18">0.01*J37+0.03</f>
        <v>0.38130000000000008</v>
      </c>
      <c r="L37">
        <v>48.18</v>
      </c>
      <c r="M37">
        <f>0.015*L37+0.03</f>
        <v>0.75270000000000004</v>
      </c>
      <c r="N37">
        <f t="shared" si="16"/>
        <v>2320.9108449293713</v>
      </c>
    </row>
    <row r="38" spans="1:14" x14ac:dyDescent="0.3">
      <c r="B38" t="s">
        <v>8</v>
      </c>
      <c r="C38">
        <v>1.4327000000000001</v>
      </c>
      <c r="D38">
        <f>C38/$G$35*1000</f>
        <v>4.5604257445662162</v>
      </c>
      <c r="J38">
        <v>23.69</v>
      </c>
      <c r="K38">
        <f t="shared" si="18"/>
        <v>0.26690000000000003</v>
      </c>
      <c r="L38">
        <v>35.56</v>
      </c>
      <c r="M38">
        <f t="shared" ref="M38:M42" si="19">0.015*L38+0.03</f>
        <v>0.56340000000000001</v>
      </c>
      <c r="N38">
        <f t="shared" si="16"/>
        <v>2120.5563313325829</v>
      </c>
    </row>
    <row r="39" spans="1:14" x14ac:dyDescent="0.3">
      <c r="J39">
        <v>10.56</v>
      </c>
      <c r="K39">
        <f t="shared" si="18"/>
        <v>0.1356</v>
      </c>
      <c r="L39">
        <v>21.19</v>
      </c>
      <c r="M39">
        <f t="shared" si="19"/>
        <v>0.34784999999999999</v>
      </c>
      <c r="N39">
        <f t="shared" si="16"/>
        <v>1586.2681912429719</v>
      </c>
    </row>
    <row r="40" spans="1:14" x14ac:dyDescent="0.3">
      <c r="J40">
        <v>3.548</v>
      </c>
      <c r="K40">
        <f t="shared" ref="K40:K41" si="20">0.01*J40+0.003</f>
        <v>3.8480000000000007E-2</v>
      </c>
      <c r="L40">
        <v>10.71</v>
      </c>
      <c r="M40">
        <f t="shared" si="19"/>
        <v>0.19065000000000001</v>
      </c>
      <c r="N40">
        <f t="shared" si="16"/>
        <v>1054.4588061879763</v>
      </c>
    </row>
    <row r="41" spans="1:14" x14ac:dyDescent="0.3">
      <c r="B41" t="s">
        <v>11</v>
      </c>
      <c r="J41">
        <v>1.1319999999999999</v>
      </c>
      <c r="K41">
        <f t="shared" si="20"/>
        <v>1.4319999999999999E-2</v>
      </c>
      <c r="L41">
        <v>4.7300000000000004</v>
      </c>
      <c r="M41">
        <f t="shared" si="19"/>
        <v>0.10095</v>
      </c>
      <c r="N41">
        <f t="shared" si="16"/>
        <v>761.74101839229468</v>
      </c>
    </row>
    <row r="42" spans="1:14" x14ac:dyDescent="0.3">
      <c r="B42" t="s">
        <v>2</v>
      </c>
      <c r="C42" t="s">
        <v>3</v>
      </c>
      <c r="D42" t="s">
        <v>24</v>
      </c>
      <c r="J42">
        <v>53.48</v>
      </c>
      <c r="K42">
        <f>0.01*J42+0.03</f>
        <v>0.56479999999999997</v>
      </c>
      <c r="L42">
        <v>71.900000000000006</v>
      </c>
      <c r="M42">
        <f t="shared" ref="M42" si="21">0.015*L42+0.3</f>
        <v>1.3785000000000001</v>
      </c>
      <c r="N42">
        <f t="shared" si="16"/>
        <v>2367.6076254475088</v>
      </c>
    </row>
    <row r="43" spans="1:14" x14ac:dyDescent="0.3">
      <c r="B43">
        <v>20.81</v>
      </c>
      <c r="C43">
        <v>5.0000000000000001E-3</v>
      </c>
      <c r="D43">
        <f>B43/C43/1000</f>
        <v>4.1619999999999999</v>
      </c>
    </row>
    <row r="44" spans="1:14" x14ac:dyDescent="0.3">
      <c r="A44" t="s">
        <v>23</v>
      </c>
      <c r="B44">
        <f>0.01*B43+0.03</f>
        <v>0.23809999999999998</v>
      </c>
      <c r="C44">
        <v>1E-4</v>
      </c>
      <c r="D44">
        <f>D43*SQRT(SUMSQ(B44/B43,C44/C43))</f>
        <v>9.5898706977727288E-2</v>
      </c>
      <c r="J44" t="s">
        <v>10</v>
      </c>
      <c r="K44" t="s">
        <v>13</v>
      </c>
      <c r="L44" t="s">
        <v>12</v>
      </c>
    </row>
    <row r="45" spans="1:14" x14ac:dyDescent="0.3">
      <c r="J45" t="s">
        <v>9</v>
      </c>
      <c r="K45">
        <v>2.7210000000000001</v>
      </c>
      <c r="L45">
        <f>0.0003*K45+0.00004*200</f>
        <v>8.8163000000000009E-3</v>
      </c>
    </row>
  </sheetData>
  <mergeCells count="1">
    <mergeCell ref="A34:B34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dcterms:created xsi:type="dcterms:W3CDTF">2025-12-08T14:01:08Z</dcterms:created>
  <dcterms:modified xsi:type="dcterms:W3CDTF">2025-12-12T21:15:25Z</dcterms:modified>
</cp:coreProperties>
</file>