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nemec\"/>
    </mc:Choice>
  </mc:AlternateContent>
  <xr:revisionPtr revIDLastSave="0" documentId="13_ncr:1_{1C402902-F76C-4B20-9AEE-AA2E6D7661DD}" xr6:coauthVersionLast="47" xr6:coauthVersionMax="47" xr10:uidLastSave="{00000000-0000-0000-0000-000000000000}"/>
  <bookViews>
    <workbookView xWindow="4200" yWindow="4185" windowWidth="21600" windowHeight="11295" xr2:uid="{A0597572-CBBA-4B03-A78B-6FB92F3A1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7" i="1"/>
  <c r="I7" i="1" s="1"/>
  <c r="D7" i="1"/>
  <c r="I5" i="1"/>
  <c r="I6" i="1"/>
  <c r="I4" i="1"/>
  <c r="D5" i="1"/>
  <c r="H5" i="1" s="1"/>
  <c r="D6" i="1"/>
  <c r="G5" i="1"/>
  <c r="G6" i="1"/>
  <c r="G4" i="1"/>
  <c r="D4" i="1"/>
  <c r="H6" i="1" l="1"/>
  <c r="H4" i="1"/>
</calcChain>
</file>

<file path=xl/sharedStrings.xml><?xml version="1.0" encoding="utf-8"?>
<sst xmlns="http://schemas.openxmlformats.org/spreadsheetml/2006/main" count="26" uniqueCount="26">
  <si>
    <t>tenka vrstva</t>
  </si>
  <si>
    <t>cocky</t>
  </si>
  <si>
    <t xml:space="preserve"> </t>
  </si>
  <si>
    <t>x1</t>
  </si>
  <si>
    <t>sigma x =</t>
  </si>
  <si>
    <t>misto</t>
  </si>
  <si>
    <t>x2</t>
  </si>
  <si>
    <t>t</t>
  </si>
  <si>
    <t>lambda Na</t>
  </si>
  <si>
    <t>x1a</t>
  </si>
  <si>
    <t>x1b</t>
  </si>
  <si>
    <t>x2a</t>
  </si>
  <si>
    <t>x2b</t>
  </si>
  <si>
    <t>sigma t</t>
  </si>
  <si>
    <t>3 (vedlejsi</t>
  </si>
  <si>
    <t>prouzek)</t>
  </si>
  <si>
    <t>perioda meritka</t>
  </si>
  <si>
    <t>spravne 0,1 mm</t>
  </si>
  <si>
    <t>F50 vypukla</t>
  </si>
  <si>
    <t>F50 vyduta</t>
  </si>
  <si>
    <t>F100 vypukla</t>
  </si>
  <si>
    <t>F100 vyduta</t>
  </si>
  <si>
    <t>cocka</t>
  </si>
  <si>
    <t>sigma R</t>
  </si>
  <si>
    <t>tabulkovy R (mm)</t>
  </si>
  <si>
    <t>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</si>
</sst>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BF46-08BD-4C38-9855-A130D63CE9E0}">
  <dimension ref="A1:I18"/>
  <sheetViews>
    <sheetView tabSelected="1" zoomScaleNormal="100" workbookViewId="0">
      <selection activeCell="F18" sqref="F18"/>
    </sheetView>
  </sheetViews>
  <sheetFormatPr defaultRowHeight="15" x14ac:dyDescent="0.25"/>
  <cols>
    <col min="1" max="1" width="12" customWidth="1"/>
    <col min="2" max="2" width="8.140625" customWidth="1"/>
    <col min="3" max="3" width="10.42578125" customWidth="1"/>
    <col min="4" max="4" width="6.85546875" customWidth="1"/>
    <col min="5" max="5" width="7.140625" customWidth="1"/>
    <col min="6" max="7" width="7.42578125" customWidth="1"/>
  </cols>
  <sheetData>
    <row r="1" spans="1:9" x14ac:dyDescent="0.25">
      <c r="A1" t="s">
        <v>0</v>
      </c>
    </row>
    <row r="2" spans="1:9" x14ac:dyDescent="0.25">
      <c r="A2" t="s">
        <v>4</v>
      </c>
      <c r="B2">
        <v>0.05</v>
      </c>
      <c r="C2" t="s">
        <v>8</v>
      </c>
      <c r="D2">
        <v>589.29999999999995</v>
      </c>
    </row>
    <row r="3" spans="1:9" x14ac:dyDescent="0.25">
      <c r="A3" t="s">
        <v>5</v>
      </c>
      <c r="B3" t="s">
        <v>9</v>
      </c>
      <c r="C3" t="s">
        <v>10</v>
      </c>
      <c r="D3" t="s">
        <v>3</v>
      </c>
      <c r="E3" t="s">
        <v>11</v>
      </c>
      <c r="F3" t="s">
        <v>12</v>
      </c>
      <c r="G3" t="s">
        <v>6</v>
      </c>
      <c r="H3" t="s">
        <v>7</v>
      </c>
      <c r="I3" t="s">
        <v>13</v>
      </c>
    </row>
    <row r="4" spans="1:9" x14ac:dyDescent="0.25">
      <c r="A4">
        <v>1</v>
      </c>
      <c r="B4">
        <v>2.83</v>
      </c>
      <c r="C4">
        <v>5.74</v>
      </c>
      <c r="D4">
        <f>C4-B4</f>
        <v>2.91</v>
      </c>
      <c r="E4">
        <v>2.83</v>
      </c>
      <c r="F4">
        <v>4.4400000000000004</v>
      </c>
      <c r="G4">
        <f>F4-E4</f>
        <v>1.6100000000000003</v>
      </c>
      <c r="H4">
        <f>$D$2/2*D4/G4</f>
        <v>532.56614906832294</v>
      </c>
      <c r="I4">
        <f>H4*SQRT($B$2^2*2/G4^2+$B$2^2*2/D4^2)</f>
        <v>26.731368060984725</v>
      </c>
    </row>
    <row r="5" spans="1:9" x14ac:dyDescent="0.25">
      <c r="A5">
        <v>2</v>
      </c>
      <c r="B5">
        <v>3.49</v>
      </c>
      <c r="C5">
        <v>4.8</v>
      </c>
      <c r="D5">
        <f t="shared" ref="D5:D7" si="0">C5-B5</f>
        <v>1.3099999999999996</v>
      </c>
      <c r="E5">
        <v>3.49</v>
      </c>
      <c r="F5">
        <v>4.88</v>
      </c>
      <c r="G5">
        <f t="shared" ref="G5:G7" si="1">F5-E5</f>
        <v>1.3899999999999997</v>
      </c>
      <c r="H5">
        <f>$D$2/2*D5/G5</f>
        <v>277.69172661870499</v>
      </c>
      <c r="I5">
        <f t="shared" ref="I5:I7" si="2">H5*SQRT($B$2^2*2/G5^2+$B$2^2*2/D5^2)</f>
        <v>20.596867092883745</v>
      </c>
    </row>
    <row r="6" spans="1:9" x14ac:dyDescent="0.25">
      <c r="A6">
        <v>3</v>
      </c>
      <c r="B6">
        <v>4.32</v>
      </c>
      <c r="C6">
        <v>5.8</v>
      </c>
      <c r="D6">
        <f t="shared" si="0"/>
        <v>1.4799999999999995</v>
      </c>
      <c r="E6">
        <v>4.32</v>
      </c>
      <c r="F6">
        <v>6.58</v>
      </c>
      <c r="G6">
        <f t="shared" si="1"/>
        <v>2.2599999999999998</v>
      </c>
      <c r="H6">
        <f>$D$2/2*D6/G6</f>
        <v>192.95663716814153</v>
      </c>
      <c r="I6">
        <f t="shared" si="2"/>
        <v>11.019870700055655</v>
      </c>
    </row>
    <row r="7" spans="1:9" x14ac:dyDescent="0.25">
      <c r="A7" t="s">
        <v>14</v>
      </c>
      <c r="B7">
        <v>1.97</v>
      </c>
      <c r="C7">
        <v>3.47</v>
      </c>
      <c r="D7">
        <f t="shared" si="0"/>
        <v>1.5000000000000002</v>
      </c>
      <c r="E7">
        <v>1.97</v>
      </c>
      <c r="F7">
        <v>4.3499999999999996</v>
      </c>
      <c r="G7">
        <f t="shared" si="1"/>
        <v>2.38</v>
      </c>
      <c r="H7">
        <f>$D$2/2*D7/G7</f>
        <v>185.70378151260505</v>
      </c>
      <c r="I7">
        <f t="shared" si="2"/>
        <v>10.347764387340099</v>
      </c>
    </row>
    <row r="8" spans="1:9" x14ac:dyDescent="0.25">
      <c r="A8" t="s">
        <v>15</v>
      </c>
    </row>
    <row r="10" spans="1:9" x14ac:dyDescent="0.25">
      <c r="A10" t="s">
        <v>1</v>
      </c>
    </row>
    <row r="11" spans="1:9" x14ac:dyDescent="0.25">
      <c r="A11" t="s">
        <v>16</v>
      </c>
      <c r="C11" t="s">
        <v>17</v>
      </c>
      <c r="G11" t="s">
        <v>2</v>
      </c>
    </row>
    <row r="12" spans="1:9" x14ac:dyDescent="0.25">
      <c r="A12">
        <v>55.216230000000003</v>
      </c>
      <c r="B12">
        <v>8.9999999999999993E-3</v>
      </c>
    </row>
    <row r="14" spans="1:9" x14ac:dyDescent="0.25">
      <c r="A14" t="s">
        <v>22</v>
      </c>
      <c r="B14" t="s">
        <v>25</v>
      </c>
      <c r="C14" t="s">
        <v>23</v>
      </c>
      <c r="D14" t="s">
        <v>24</v>
      </c>
    </row>
    <row r="15" spans="1:9" x14ac:dyDescent="0.25">
      <c r="A15" t="s">
        <v>18</v>
      </c>
      <c r="B15">
        <v>30.27</v>
      </c>
      <c r="C15">
        <v>5.0000000000000001E-3</v>
      </c>
      <c r="D15">
        <v>30.06</v>
      </c>
    </row>
    <row r="16" spans="1:9" x14ac:dyDescent="0.25">
      <c r="A16" t="s">
        <v>19</v>
      </c>
      <c r="B16">
        <v>-172.38</v>
      </c>
      <c r="C16">
        <v>0.09</v>
      </c>
      <c r="D16">
        <v>-172</v>
      </c>
    </row>
    <row r="17" spans="1:4" x14ac:dyDescent="0.25">
      <c r="A17" t="s">
        <v>20</v>
      </c>
      <c r="B17">
        <v>60.35</v>
      </c>
      <c r="C17">
        <v>1.2999999999999999E-2</v>
      </c>
      <c r="D17">
        <v>60.02</v>
      </c>
    </row>
    <row r="18" spans="1:4" x14ac:dyDescent="0.25">
      <c r="A18" t="s">
        <v>21</v>
      </c>
      <c r="B18">
        <v>-354.4</v>
      </c>
      <c r="C18">
        <v>0.4</v>
      </c>
      <c r="D18">
        <v>-353.3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2026-03-17T11:38:37Z</cp:lastPrinted>
  <dcterms:created xsi:type="dcterms:W3CDTF">2026-03-17T08:27:44Z</dcterms:created>
  <dcterms:modified xsi:type="dcterms:W3CDTF">2026-03-17T11:44:43Z</dcterms:modified>
</cp:coreProperties>
</file>