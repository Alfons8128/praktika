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4\"/>
    </mc:Choice>
  </mc:AlternateContent>
  <xr:revisionPtr revIDLastSave="0" documentId="13_ncr:1_{BDA607B9-9DDA-47C1-A4B5-705623BA0BF6}" xr6:coauthVersionLast="47" xr6:coauthVersionMax="47" xr10:uidLastSave="{00000000-0000-0000-0000-000000000000}"/>
  <bookViews>
    <workbookView xWindow="-108" yWindow="-108" windowWidth="23256" windowHeight="12456" xr2:uid="{5221C9AC-7A57-4770-B266-F8BD59E37F4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D34" i="1"/>
  <c r="I34" i="1"/>
  <c r="I42" i="1"/>
  <c r="D42" i="1"/>
  <c r="I27" i="1"/>
  <c r="J27" i="1" s="1"/>
  <c r="D27" i="1"/>
  <c r="J42" i="1"/>
  <c r="E42" i="1"/>
  <c r="E27" i="1"/>
  <c r="J12" i="1"/>
  <c r="E12" i="1"/>
  <c r="J38" i="1"/>
  <c r="E38" i="1"/>
  <c r="E23" i="1"/>
  <c r="J23" i="1"/>
  <c r="J8" i="1"/>
  <c r="E8" i="1"/>
  <c r="E4" i="1"/>
  <c r="J34" i="1"/>
  <c r="E34" i="1"/>
  <c r="E19" i="1"/>
  <c r="J19" i="1"/>
  <c r="J4" i="1"/>
  <c r="I12" i="1"/>
  <c r="D12" i="1"/>
  <c r="D19" i="1"/>
  <c r="D4" i="1"/>
  <c r="I4" i="1"/>
  <c r="I8" i="1"/>
  <c r="D8" i="1"/>
  <c r="D23" i="1"/>
  <c r="I23" i="1"/>
  <c r="I38" i="1"/>
  <c r="D38" i="1"/>
  <c r="G43" i="1"/>
  <c r="B43" i="1"/>
  <c r="G28" i="1"/>
  <c r="B28" i="1"/>
  <c r="G13" i="1"/>
  <c r="B13" i="1"/>
</calcChain>
</file>

<file path=xl/sharedStrings.xml><?xml version="1.0" encoding="utf-8"?>
<sst xmlns="http://schemas.openxmlformats.org/spreadsheetml/2006/main" count="60" uniqueCount="20">
  <si>
    <t>D (mm)</t>
  </si>
  <si>
    <t>l (cm)</t>
  </si>
  <si>
    <t>wolfram</t>
  </si>
  <si>
    <t>chromnikl</t>
  </si>
  <si>
    <t>měď</t>
  </si>
  <si>
    <t>kanthal</t>
  </si>
  <si>
    <t>železo</t>
  </si>
  <si>
    <t>mosaz</t>
  </si>
  <si>
    <t>Wheaston</t>
  </si>
  <si>
    <t>Thomson</t>
  </si>
  <si>
    <t>Keithley</t>
  </si>
  <si>
    <t>10^-8 ohm m</t>
  </si>
  <si>
    <t>mOhm</t>
  </si>
  <si>
    <t>průměr</t>
  </si>
  <si>
    <t>R (mOhm)</t>
  </si>
  <si>
    <t>odpor přívodních drátů</t>
  </si>
  <si>
    <t>rho  10^-8 ohm m</t>
  </si>
  <si>
    <t>teplota (°C)</t>
  </si>
  <si>
    <t>+-1</t>
  </si>
  <si>
    <t>+-0,4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</si>
</sst>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22E3-B841-455A-ACB8-0F57C9B9888A}">
  <dimension ref="A1:J46"/>
  <sheetViews>
    <sheetView tabSelected="1" topLeftCell="A22" zoomScaleNormal="100" workbookViewId="0">
      <selection activeCell="I30" sqref="I30"/>
    </sheetView>
  </sheetViews>
  <sheetFormatPr defaultRowHeight="14.4" x14ac:dyDescent="0.3"/>
  <cols>
    <col min="1" max="1" width="6.77734375" customWidth="1"/>
    <col min="2" max="2" width="6.77734375" bestFit="1" customWidth="1"/>
    <col min="3" max="3" width="7.5546875" customWidth="1"/>
    <col min="4" max="4" width="8.33203125" customWidth="1"/>
    <col min="6" max="6" width="8.77734375" customWidth="1"/>
    <col min="7" max="7" width="6.77734375" bestFit="1" customWidth="1"/>
    <col min="8" max="8" width="6.109375" customWidth="1"/>
    <col min="9" max="9" width="8.6640625" customWidth="1"/>
    <col min="10" max="10" width="9.5546875" customWidth="1"/>
  </cols>
  <sheetData>
    <row r="1" spans="1:10" x14ac:dyDescent="0.3">
      <c r="A1" t="s">
        <v>2</v>
      </c>
      <c r="B1">
        <v>5.5</v>
      </c>
      <c r="F1" t="s">
        <v>4</v>
      </c>
      <c r="G1">
        <v>1.75</v>
      </c>
      <c r="H1" t="s">
        <v>11</v>
      </c>
    </row>
    <row r="2" spans="1:10" x14ac:dyDescent="0.3">
      <c r="A2" t="s">
        <v>1</v>
      </c>
      <c r="B2" t="s">
        <v>0</v>
      </c>
      <c r="D2" t="s">
        <v>14</v>
      </c>
      <c r="E2" t="s">
        <v>16</v>
      </c>
      <c r="F2" t="s">
        <v>1</v>
      </c>
      <c r="G2" t="s">
        <v>0</v>
      </c>
      <c r="I2" t="s">
        <v>14</v>
      </c>
      <c r="J2" t="s">
        <v>16</v>
      </c>
    </row>
    <row r="3" spans="1:10" x14ac:dyDescent="0.3">
      <c r="A3">
        <v>0.1</v>
      </c>
      <c r="B3">
        <v>0.69</v>
      </c>
      <c r="C3" t="s">
        <v>10</v>
      </c>
      <c r="F3">
        <v>0.3</v>
      </c>
      <c r="G3">
        <v>1.34</v>
      </c>
      <c r="H3" t="s">
        <v>10</v>
      </c>
    </row>
    <row r="4" spans="1:10" x14ac:dyDescent="0.3">
      <c r="A4">
        <v>89.9</v>
      </c>
      <c r="B4">
        <v>0.68</v>
      </c>
      <c r="C4">
        <v>136.93</v>
      </c>
      <c r="D4">
        <f>C4</f>
        <v>136.93</v>
      </c>
      <c r="E4">
        <f>D4/A4*3.14159265/4*B13^2*10</f>
        <v>5.6460181694025451</v>
      </c>
      <c r="F4">
        <v>90.2</v>
      </c>
      <c r="G4">
        <v>1.35</v>
      </c>
      <c r="H4">
        <v>10.59</v>
      </c>
      <c r="I4">
        <f>H4</f>
        <v>10.59</v>
      </c>
      <c r="J4">
        <f>I4/F4*3.14159265/4*G13^2*10</f>
        <v>1.6705882527680584</v>
      </c>
    </row>
    <row r="5" spans="1:10" x14ac:dyDescent="0.3">
      <c r="B5">
        <v>0.69</v>
      </c>
      <c r="G5">
        <v>1.35</v>
      </c>
    </row>
    <row r="6" spans="1:10" x14ac:dyDescent="0.3">
      <c r="B6">
        <v>0.69</v>
      </c>
      <c r="G6">
        <v>1.34</v>
      </c>
    </row>
    <row r="7" spans="1:10" x14ac:dyDescent="0.3">
      <c r="B7">
        <v>0.69</v>
      </c>
      <c r="C7" t="s">
        <v>8</v>
      </c>
      <c r="G7">
        <v>1.35</v>
      </c>
      <c r="H7" t="s">
        <v>8</v>
      </c>
    </row>
    <row r="8" spans="1:10" x14ac:dyDescent="0.3">
      <c r="B8">
        <v>0.68</v>
      </c>
      <c r="C8">
        <v>169.1</v>
      </c>
      <c r="D8">
        <f>C8-$B$46</f>
        <v>142.1</v>
      </c>
      <c r="E8">
        <f>D8/A4*3.14159265/4*B13^2*10</f>
        <v>5.859192155642309</v>
      </c>
      <c r="G8">
        <v>1.35</v>
      </c>
      <c r="H8">
        <v>38.299999999999997</v>
      </c>
      <c r="I8">
        <f>H8-$B$46</f>
        <v>11.299999999999997</v>
      </c>
      <c r="J8">
        <f>I8/F4*3.14159265/4*G13^2*10</f>
        <v>1.7825918089026493</v>
      </c>
    </row>
    <row r="9" spans="1:10" x14ac:dyDescent="0.3">
      <c r="B9">
        <v>0.69</v>
      </c>
      <c r="G9">
        <v>1.35</v>
      </c>
    </row>
    <row r="10" spans="1:10" x14ac:dyDescent="0.3">
      <c r="B10">
        <v>0.69</v>
      </c>
      <c r="G10">
        <v>1.35</v>
      </c>
    </row>
    <row r="11" spans="1:10" x14ac:dyDescent="0.3">
      <c r="B11">
        <v>0.68</v>
      </c>
      <c r="C11" t="s">
        <v>9</v>
      </c>
      <c r="G11">
        <v>1.34</v>
      </c>
      <c r="H11" t="s">
        <v>9</v>
      </c>
    </row>
    <row r="12" spans="1:10" x14ac:dyDescent="0.3">
      <c r="B12">
        <v>0.69</v>
      </c>
      <c r="C12">
        <v>137.6</v>
      </c>
      <c r="D12">
        <f>C12</f>
        <v>137.6</v>
      </c>
      <c r="E12">
        <f>D12/A4*3.14159265/4*B13^2*10</f>
        <v>5.6736441985670769</v>
      </c>
      <c r="G12">
        <v>1.34</v>
      </c>
      <c r="H12">
        <v>10.9</v>
      </c>
      <c r="I12">
        <f>H12</f>
        <v>10.9</v>
      </c>
      <c r="J12">
        <f>I12/F4*3.14159265/4*G13^2*10</f>
        <v>1.7194912138972465</v>
      </c>
    </row>
    <row r="13" spans="1:10" x14ac:dyDescent="0.3">
      <c r="A13" t="s">
        <v>13</v>
      </c>
      <c r="B13">
        <f>AVERAGE(B3:B12)</f>
        <v>0.68699999999999994</v>
      </c>
      <c r="F13" t="s">
        <v>13</v>
      </c>
      <c r="G13">
        <f>AVERAGE(G3:G12)</f>
        <v>1.3459999999999999</v>
      </c>
    </row>
    <row r="16" spans="1:10" x14ac:dyDescent="0.3">
      <c r="A16" t="s">
        <v>5</v>
      </c>
      <c r="B16">
        <v>145</v>
      </c>
      <c r="F16" t="s">
        <v>6</v>
      </c>
      <c r="G16">
        <v>9.8000000000000007</v>
      </c>
    </row>
    <row r="17" spans="1:10" x14ac:dyDescent="0.3">
      <c r="A17" t="s">
        <v>1</v>
      </c>
      <c r="B17" t="s">
        <v>0</v>
      </c>
      <c r="D17" t="s">
        <v>14</v>
      </c>
      <c r="E17" t="s">
        <v>16</v>
      </c>
      <c r="F17" t="s">
        <v>1</v>
      </c>
      <c r="G17" t="s">
        <v>0</v>
      </c>
      <c r="I17" t="s">
        <v>14</v>
      </c>
      <c r="J17" t="s">
        <v>16</v>
      </c>
    </row>
    <row r="18" spans="1:10" x14ac:dyDescent="0.3">
      <c r="A18">
        <v>0.1</v>
      </c>
      <c r="B18">
        <v>0.5</v>
      </c>
      <c r="C18" t="s">
        <v>10</v>
      </c>
      <c r="F18">
        <v>0.1</v>
      </c>
      <c r="G18">
        <v>0.41</v>
      </c>
      <c r="H18" t="s">
        <v>10</v>
      </c>
    </row>
    <row r="19" spans="1:10" x14ac:dyDescent="0.3">
      <c r="A19">
        <v>89.8</v>
      </c>
      <c r="B19">
        <v>0.5</v>
      </c>
      <c r="C19">
        <v>6287.32</v>
      </c>
      <c r="D19">
        <f>C19</f>
        <v>6287.32</v>
      </c>
      <c r="E19">
        <f>D19/A19*3.14159265/4*B28^2*10</f>
        <v>138.02398456425382</v>
      </c>
      <c r="F19">
        <v>89.9</v>
      </c>
      <c r="G19">
        <v>0.41</v>
      </c>
      <c r="H19">
        <v>1475.6</v>
      </c>
      <c r="I19">
        <f>H19</f>
        <v>1475.6</v>
      </c>
      <c r="J19">
        <f>I19/F19*3.14159265/4*G28^2*10</f>
        <v>21.670381107356896</v>
      </c>
    </row>
    <row r="20" spans="1:10" x14ac:dyDescent="0.3">
      <c r="B20">
        <v>0.5</v>
      </c>
      <c r="G20">
        <v>0.41</v>
      </c>
    </row>
    <row r="21" spans="1:10" x14ac:dyDescent="0.3">
      <c r="B21">
        <v>0.49</v>
      </c>
      <c r="G21">
        <v>0.41</v>
      </c>
    </row>
    <row r="22" spans="1:10" x14ac:dyDescent="0.3">
      <c r="B22">
        <v>0.5</v>
      </c>
      <c r="C22" t="s">
        <v>8</v>
      </c>
      <c r="G22">
        <v>0.41</v>
      </c>
      <c r="H22" t="s">
        <v>8</v>
      </c>
    </row>
    <row r="23" spans="1:10" x14ac:dyDescent="0.3">
      <c r="B23">
        <v>0.5</v>
      </c>
      <c r="C23">
        <v>6311</v>
      </c>
      <c r="D23">
        <f>C23-$B$46</f>
        <v>6284</v>
      </c>
      <c r="E23">
        <f>D23/A19*3.14159265/4*B28^2*10</f>
        <v>137.95110142346363</v>
      </c>
      <c r="G23">
        <v>0.41</v>
      </c>
      <c r="H23">
        <v>1508</v>
      </c>
      <c r="I23">
        <f>H23-$B$46</f>
        <v>1481</v>
      </c>
      <c r="J23">
        <f>I23/F19*3.14159265/4*G28^2*10</f>
        <v>21.749684480886128</v>
      </c>
    </row>
    <row r="24" spans="1:10" x14ac:dyDescent="0.3">
      <c r="B24">
        <v>0.51</v>
      </c>
      <c r="G24">
        <v>0.41</v>
      </c>
    </row>
    <row r="25" spans="1:10" x14ac:dyDescent="0.3">
      <c r="B25">
        <v>0.51</v>
      </c>
      <c r="G25">
        <v>0.41</v>
      </c>
    </row>
    <row r="26" spans="1:10" x14ac:dyDescent="0.3">
      <c r="B26">
        <v>0.5</v>
      </c>
      <c r="C26" t="s">
        <v>9</v>
      </c>
      <c r="G26">
        <v>0.41</v>
      </c>
      <c r="H26" t="s">
        <v>9</v>
      </c>
    </row>
    <row r="27" spans="1:10" x14ac:dyDescent="0.3">
      <c r="B27">
        <v>0.5</v>
      </c>
      <c r="C27">
        <v>6284</v>
      </c>
      <c r="D27">
        <f>C27</f>
        <v>6284</v>
      </c>
      <c r="E27">
        <f>D27/A19*3.14159265/4*B28^2*10</f>
        <v>137.95110142346363</v>
      </c>
      <c r="G27">
        <v>0.41</v>
      </c>
      <c r="H27">
        <v>1482</v>
      </c>
      <c r="I27">
        <f>H27</f>
        <v>1482</v>
      </c>
      <c r="J27">
        <f>I27/F19*3.14159265/4*G28^2*10</f>
        <v>21.764370290798944</v>
      </c>
    </row>
    <row r="28" spans="1:10" x14ac:dyDescent="0.3">
      <c r="A28" t="s">
        <v>13</v>
      </c>
      <c r="B28">
        <f>AVERAGE(B18:B27)</f>
        <v>0.501</v>
      </c>
      <c r="F28" t="s">
        <v>13</v>
      </c>
      <c r="G28">
        <f>AVERAGE(G18:G27)</f>
        <v>0.41000000000000003</v>
      </c>
    </row>
    <row r="31" spans="1:10" x14ac:dyDescent="0.3">
      <c r="A31" t="s">
        <v>7</v>
      </c>
      <c r="B31">
        <v>7.5</v>
      </c>
      <c r="F31" t="s">
        <v>3</v>
      </c>
      <c r="G31">
        <v>110</v>
      </c>
    </row>
    <row r="32" spans="1:10" x14ac:dyDescent="0.3">
      <c r="A32" t="s">
        <v>1</v>
      </c>
      <c r="B32" t="s">
        <v>0</v>
      </c>
      <c r="D32" t="s">
        <v>14</v>
      </c>
      <c r="E32" t="s">
        <v>16</v>
      </c>
      <c r="F32" t="s">
        <v>1</v>
      </c>
      <c r="G32" t="s">
        <v>0</v>
      </c>
      <c r="I32" t="s">
        <v>14</v>
      </c>
      <c r="J32" t="s">
        <v>16</v>
      </c>
    </row>
    <row r="33" spans="1:10" x14ac:dyDescent="0.3">
      <c r="A33">
        <v>0.1</v>
      </c>
      <c r="B33">
        <v>0.59</v>
      </c>
      <c r="C33" t="s">
        <v>10</v>
      </c>
      <c r="F33">
        <v>0.1</v>
      </c>
      <c r="G33">
        <v>1.02</v>
      </c>
      <c r="H33" t="s">
        <v>10</v>
      </c>
    </row>
    <row r="34" spans="1:10" x14ac:dyDescent="0.3">
      <c r="A34">
        <v>89.9</v>
      </c>
      <c r="B34">
        <v>0.6</v>
      </c>
      <c r="C34">
        <v>220.82</v>
      </c>
      <c r="D34">
        <f>C34</f>
        <v>220.82</v>
      </c>
      <c r="E34">
        <f>D34/A34*3.14159265/4*B43^2*10</f>
        <v>6.8757053450605641</v>
      </c>
      <c r="F34">
        <v>89.8</v>
      </c>
      <c r="G34">
        <v>1.01</v>
      </c>
      <c r="H34">
        <v>1179.27</v>
      </c>
      <c r="I34">
        <f>H34</f>
        <v>1179.27</v>
      </c>
      <c r="J34">
        <f>I34/F34*3.14159265/4*G43^2*10</f>
        <v>103.96669066413848</v>
      </c>
    </row>
    <row r="35" spans="1:10" x14ac:dyDescent="0.3">
      <c r="B35">
        <v>0.6</v>
      </c>
      <c r="G35">
        <v>0.99</v>
      </c>
    </row>
    <row r="36" spans="1:10" x14ac:dyDescent="0.3">
      <c r="B36">
        <v>0.6</v>
      </c>
      <c r="G36">
        <v>1</v>
      </c>
    </row>
    <row r="37" spans="1:10" x14ac:dyDescent="0.3">
      <c r="B37">
        <v>0.59</v>
      </c>
      <c r="C37" t="s">
        <v>8</v>
      </c>
      <c r="G37">
        <v>1.01</v>
      </c>
      <c r="H37" t="s">
        <v>8</v>
      </c>
    </row>
    <row r="38" spans="1:10" x14ac:dyDescent="0.3">
      <c r="B38">
        <v>0.61</v>
      </c>
      <c r="C38">
        <v>250</v>
      </c>
      <c r="D38">
        <f>C38-$B$46</f>
        <v>223</v>
      </c>
      <c r="E38">
        <f>D38/A34*3.14159265/4*B43^2*10</f>
        <v>6.9435843308962308</v>
      </c>
      <c r="G38">
        <v>1</v>
      </c>
      <c r="H38">
        <v>1208</v>
      </c>
      <c r="I38">
        <f>H38-$B$46</f>
        <v>1181</v>
      </c>
      <c r="J38">
        <f>I38/F34*3.14159265/4*G43^2*10</f>
        <v>104.11921076118917</v>
      </c>
    </row>
    <row r="39" spans="1:10" x14ac:dyDescent="0.3">
      <c r="B39">
        <v>0.59</v>
      </c>
      <c r="G39">
        <v>1</v>
      </c>
    </row>
    <row r="40" spans="1:10" x14ac:dyDescent="0.3">
      <c r="B40">
        <v>0.6</v>
      </c>
      <c r="G40">
        <v>0.99</v>
      </c>
    </row>
    <row r="41" spans="1:10" x14ac:dyDescent="0.3">
      <c r="B41">
        <v>0.6</v>
      </c>
      <c r="C41" t="s">
        <v>9</v>
      </c>
      <c r="G41">
        <v>1</v>
      </c>
      <c r="H41" t="s">
        <v>9</v>
      </c>
    </row>
    <row r="42" spans="1:10" x14ac:dyDescent="0.3">
      <c r="B42">
        <v>0.59</v>
      </c>
      <c r="C42">
        <v>221.4</v>
      </c>
      <c r="D42">
        <f>C42</f>
        <v>221.4</v>
      </c>
      <c r="E42">
        <f>D42/A34*3.14159265/4*B43^2*10</f>
        <v>6.8937648917507861</v>
      </c>
      <c r="G42">
        <v>1.02</v>
      </c>
      <c r="H42">
        <v>1179</v>
      </c>
      <c r="I42">
        <f>H42</f>
        <v>1179</v>
      </c>
      <c r="J42">
        <f>I42/F34*3.14159265/4*G43^2*10</f>
        <v>103.9428869495699</v>
      </c>
    </row>
    <row r="43" spans="1:10" x14ac:dyDescent="0.3">
      <c r="A43" t="s">
        <v>13</v>
      </c>
      <c r="B43">
        <f>AVERAGE(B33:B42)</f>
        <v>0.59699999999999986</v>
      </c>
      <c r="F43" t="s">
        <v>13</v>
      </c>
      <c r="G43">
        <f>AVERAGE(G33:G42)</f>
        <v>1.004</v>
      </c>
    </row>
    <row r="45" spans="1:10" x14ac:dyDescent="0.3">
      <c r="B45" t="s">
        <v>15</v>
      </c>
      <c r="F45" t="s">
        <v>17</v>
      </c>
    </row>
    <row r="46" spans="1:10" x14ac:dyDescent="0.3">
      <c r="B46">
        <v>27</v>
      </c>
      <c r="C46" s="1" t="s">
        <v>18</v>
      </c>
      <c r="D46" t="s">
        <v>12</v>
      </c>
      <c r="F46">
        <v>22.8</v>
      </c>
      <c r="G46" s="1" t="s">
        <v>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cp:lastPrinted>2025-11-10T16:01:45Z</cp:lastPrinted>
  <dcterms:created xsi:type="dcterms:W3CDTF">2025-11-10T13:56:57Z</dcterms:created>
  <dcterms:modified xsi:type="dcterms:W3CDTF">2025-11-14T14:20:53Z</dcterms:modified>
</cp:coreProperties>
</file>