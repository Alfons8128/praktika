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27\"/>
    </mc:Choice>
  </mc:AlternateContent>
  <xr:revisionPtr revIDLastSave="0" documentId="13_ncr:1_{03A7D65D-3410-4DFD-9FDD-091DBC3825E6}" xr6:coauthVersionLast="47" xr6:coauthVersionMax="47" xr10:uidLastSave="{00000000-0000-0000-0000-000000000000}"/>
  <bookViews>
    <workbookView xWindow="-108" yWindow="-108" windowWidth="23256" windowHeight="12456" xr2:uid="{635767DE-D7BD-46F5-96D6-3D4DDDEDB1B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H42" i="1"/>
  <c r="G43" i="1"/>
  <c r="H43" i="1"/>
  <c r="G44" i="1"/>
  <c r="H44" i="1"/>
  <c r="G45" i="1"/>
  <c r="H45" i="1"/>
  <c r="H41" i="1"/>
  <c r="G41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2" i="1"/>
  <c r="I4" i="1"/>
  <c r="I5" i="1"/>
  <c r="I6" i="1"/>
  <c r="I7" i="1"/>
  <c r="I8" i="1"/>
  <c r="I9" i="1"/>
  <c r="I10" i="1"/>
  <c r="I11" i="1"/>
  <c r="I12" i="1"/>
  <c r="I13" i="1"/>
  <c r="I3" i="1"/>
  <c r="F1" i="1"/>
  <c r="F4" i="1"/>
  <c r="F5" i="1"/>
  <c r="F6" i="1"/>
  <c r="F7" i="1"/>
  <c r="F8" i="1"/>
  <c r="F9" i="1"/>
  <c r="F10" i="1"/>
  <c r="F11" i="1"/>
  <c r="F12" i="1"/>
  <c r="F13" i="1"/>
  <c r="F3" i="1"/>
  <c r="G4" i="1"/>
  <c r="G5" i="1"/>
  <c r="G6" i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3" i="1"/>
  <c r="H3" i="1" s="1"/>
  <c r="H5" i="1"/>
  <c r="H6" i="1"/>
  <c r="H21" i="1"/>
  <c r="E42" i="1"/>
  <c r="I42" i="1" s="1"/>
  <c r="E43" i="1"/>
  <c r="I43" i="1" s="1"/>
  <c r="E44" i="1"/>
  <c r="I44" i="1" s="1"/>
  <c r="E45" i="1"/>
  <c r="I45" i="1" s="1"/>
  <c r="E41" i="1"/>
  <c r="I41" i="1" s="1"/>
  <c r="G25" i="1"/>
  <c r="G23" i="1"/>
  <c r="G24" i="1" s="1"/>
  <c r="G22" i="1"/>
  <c r="G21" i="1"/>
  <c r="H4" i="1"/>
  <c r="D36" i="1"/>
  <c r="D31" i="1"/>
  <c r="D32" i="1"/>
  <c r="D33" i="1"/>
  <c r="D34" i="1"/>
  <c r="D35" i="1"/>
  <c r="D22" i="1"/>
  <c r="B31" i="1"/>
  <c r="B32" i="1"/>
  <c r="B36" i="1"/>
  <c r="B33" i="1"/>
  <c r="B35" i="1"/>
  <c r="B34" i="1"/>
  <c r="B22" i="1"/>
  <c r="D11" i="1"/>
  <c r="D12" i="1"/>
  <c r="D13" i="1"/>
  <c r="C4" i="1"/>
  <c r="C5" i="1"/>
  <c r="C6" i="1"/>
  <c r="C7" i="1"/>
  <c r="C8" i="1"/>
  <c r="C9" i="1"/>
  <c r="C10" i="1"/>
  <c r="C11" i="1"/>
  <c r="C12" i="1"/>
  <c r="C13" i="1"/>
  <c r="C3" i="1"/>
  <c r="D3" i="1" s="1"/>
  <c r="E1" i="1"/>
  <c r="D4" i="1" s="1"/>
  <c r="H23" i="1" l="1"/>
  <c r="H24" i="1" s="1"/>
  <c r="D10" i="1"/>
  <c r="D9" i="1"/>
  <c r="D8" i="1"/>
  <c r="D7" i="1"/>
  <c r="D6" i="1"/>
  <c r="D5" i="1"/>
  <c r="C20" i="1"/>
  <c r="B23" i="1" s="1"/>
  <c r="B24" i="1" s="1"/>
  <c r="B25" i="1"/>
  <c r="A24" i="1"/>
  <c r="D24" i="1" s="1"/>
  <c r="A25" i="1"/>
  <c r="D25" i="1" s="1"/>
  <c r="B26" i="1"/>
  <c r="D14" i="1" l="1"/>
  <c r="A26" i="1"/>
  <c r="D26" i="1" s="1"/>
  <c r="B27" i="1"/>
  <c r="E9" i="1"/>
  <c r="E10" i="1"/>
  <c r="E13" i="1"/>
  <c r="E4" i="1"/>
  <c r="E8" i="1"/>
  <c r="E11" i="1"/>
  <c r="E12" i="1"/>
  <c r="E3" i="1"/>
  <c r="E6" i="1"/>
  <c r="E7" i="1"/>
  <c r="A23" i="1"/>
  <c r="D23" i="1" s="1"/>
  <c r="E5" i="1" l="1"/>
  <c r="E14" i="1"/>
  <c r="A27" i="1"/>
  <c r="D27" i="1" s="1"/>
  <c r="B28" i="1"/>
  <c r="A28" i="1" l="1"/>
  <c r="D28" i="1" s="1"/>
  <c r="B29" i="1"/>
  <c r="A29" i="1" l="1"/>
  <c r="D29" i="1" s="1"/>
  <c r="B30" i="1"/>
  <c r="A30" i="1" s="1"/>
  <c r="D30" i="1" s="1"/>
</calcChain>
</file>

<file path=xl/sharedStrings.xml><?xml version="1.0" encoding="utf-8"?>
<sst xmlns="http://schemas.openxmlformats.org/spreadsheetml/2006/main" count="36" uniqueCount="32">
  <si>
    <t>U0 (V)</t>
  </si>
  <si>
    <t>UR (mV)</t>
  </si>
  <si>
    <t>omega (s^-1)</t>
  </si>
  <si>
    <t>d (mm)</t>
  </si>
  <si>
    <t>C (pF)</t>
  </si>
  <si>
    <t>I0 (mA)</t>
  </si>
  <si>
    <t>1/d (mm^-1)</t>
  </si>
  <si>
    <t>d 1/d</t>
  </si>
  <si>
    <t>dC</t>
  </si>
  <si>
    <t>dI</t>
  </si>
  <si>
    <t>sklo</t>
  </si>
  <si>
    <t>k</t>
  </si>
  <si>
    <t>A</t>
  </si>
  <si>
    <t>D</t>
  </si>
  <si>
    <t>epsilon 0</t>
  </si>
  <si>
    <t>epsilon r</t>
  </si>
  <si>
    <t>C vac (pF)</t>
  </si>
  <si>
    <t>plexisklo</t>
  </si>
  <si>
    <t>polyethylen</t>
  </si>
  <si>
    <t>polypropylen</t>
  </si>
  <si>
    <t>PVC</t>
  </si>
  <si>
    <t>osciloskop</t>
  </si>
  <si>
    <t>LCR metr</t>
  </si>
  <si>
    <t>C (pF) =</t>
  </si>
  <si>
    <t>dUR (1 %)</t>
  </si>
  <si>
    <t>dU0 (1 %)</t>
  </si>
  <si>
    <t>dd (mm)</t>
  </si>
  <si>
    <t>dC (pF)</t>
  </si>
  <si>
    <t>dC vac (pF)</t>
  </si>
  <si>
    <t>d eps r</t>
  </si>
  <si>
    <t>teor. eps0</t>
  </si>
  <si>
    <t>materiál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</si>
</sst>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</a:t>
            </a:r>
            <a:r>
              <a:rPr lang="cs-CZ" baseline="0"/>
              <a:t>  osciloskop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List1!$D$2</c:f>
              <c:strCache>
                <c:ptCount val="1"/>
                <c:pt idx="0">
                  <c:v>C (pF)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List1!$I$3:$I$13</c:f>
                <c:numCache>
                  <c:formatCode>General</c:formatCode>
                  <c:ptCount val="11"/>
                  <c:pt idx="0">
                    <c:v>3.2978311016425015</c:v>
                  </c:pt>
                  <c:pt idx="1">
                    <c:v>3.3040300322846874</c:v>
                  </c:pt>
                  <c:pt idx="2">
                    <c:v>3.3291306202948472</c:v>
                  </c:pt>
                  <c:pt idx="3">
                    <c:v>3.3162400471859614</c:v>
                  </c:pt>
                  <c:pt idx="4">
                    <c:v>3.3051650477543828</c:v>
                  </c:pt>
                  <c:pt idx="5">
                    <c:v>3.32523690027111</c:v>
                  </c:pt>
                  <c:pt idx="6">
                    <c:v>3.3149738234184207</c:v>
                  </c:pt>
                  <c:pt idx="7">
                    <c:v>3.2938409853670727</c:v>
                  </c:pt>
                  <c:pt idx="8">
                    <c:v>3.251172483905624</c:v>
                  </c:pt>
                  <c:pt idx="9">
                    <c:v>3.2694931329925123</c:v>
                  </c:pt>
                  <c:pt idx="10">
                    <c:v>3.2961294344073928</c:v>
                  </c:pt>
                </c:numCache>
              </c:numRef>
            </c:plus>
            <c:minus>
              <c:numRef>
                <c:f>List1!$I$3:$I$13</c:f>
                <c:numCache>
                  <c:formatCode>General</c:formatCode>
                  <c:ptCount val="11"/>
                  <c:pt idx="0">
                    <c:v>3.2978311016425015</c:v>
                  </c:pt>
                  <c:pt idx="1">
                    <c:v>3.3040300322846874</c:v>
                  </c:pt>
                  <c:pt idx="2">
                    <c:v>3.3291306202948472</c:v>
                  </c:pt>
                  <c:pt idx="3">
                    <c:v>3.3162400471859614</c:v>
                  </c:pt>
                  <c:pt idx="4">
                    <c:v>3.3051650477543828</c:v>
                  </c:pt>
                  <c:pt idx="5">
                    <c:v>3.32523690027111</c:v>
                  </c:pt>
                  <c:pt idx="6">
                    <c:v>3.3149738234184207</c:v>
                  </c:pt>
                  <c:pt idx="7">
                    <c:v>3.2938409853670727</c:v>
                  </c:pt>
                  <c:pt idx="8">
                    <c:v>3.251172483905624</c:v>
                  </c:pt>
                  <c:pt idx="9">
                    <c:v>3.2694931329925123</c:v>
                  </c:pt>
                  <c:pt idx="10">
                    <c:v>3.2961294344073928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List1!$A$3:$A$13</c:f>
              <c:numCache>
                <c:formatCode>General</c:formatCode>
                <c:ptCount val="11"/>
                <c:pt idx="0">
                  <c:v>10.4</c:v>
                </c:pt>
                <c:pt idx="1">
                  <c:v>11.2</c:v>
                </c:pt>
                <c:pt idx="2">
                  <c:v>12.2</c:v>
                </c:pt>
                <c:pt idx="3">
                  <c:v>13.2</c:v>
                </c:pt>
                <c:pt idx="4">
                  <c:v>14.2</c:v>
                </c:pt>
                <c:pt idx="5">
                  <c:v>15.2</c:v>
                </c:pt>
                <c:pt idx="6">
                  <c:v>16.2</c:v>
                </c:pt>
                <c:pt idx="7">
                  <c:v>17.399999999999999</c:v>
                </c:pt>
                <c:pt idx="8">
                  <c:v>18.600000000000001</c:v>
                </c:pt>
                <c:pt idx="9">
                  <c:v>19.600000000000001</c:v>
                </c:pt>
                <c:pt idx="10">
                  <c:v>20.399999999999999</c:v>
                </c:pt>
              </c:numCache>
            </c:numRef>
          </c:xVal>
          <c:yVal>
            <c:numRef>
              <c:f>List1!$D$3:$D$13</c:f>
              <c:numCache>
                <c:formatCode>General</c:formatCode>
                <c:ptCount val="11"/>
                <c:pt idx="0">
                  <c:v>232.611070938567</c:v>
                </c:pt>
                <c:pt idx="1">
                  <c:v>233.04830979371471</c:v>
                </c:pt>
                <c:pt idx="2">
                  <c:v>234.81876876455863</c:v>
                </c:pt>
                <c:pt idx="3">
                  <c:v>233.90953784173288</c:v>
                </c:pt>
                <c:pt idx="4">
                  <c:v>233.12836761226285</c:v>
                </c:pt>
                <c:pt idx="5">
                  <c:v>234.54412692974626</c:v>
                </c:pt>
                <c:pt idx="6">
                  <c:v>233.82022530341982</c:v>
                </c:pt>
                <c:pt idx="7">
                  <c:v>232.329629836403</c:v>
                </c:pt>
                <c:pt idx="8">
                  <c:v>229.3200257922941</c:v>
                </c:pt>
                <c:pt idx="9">
                  <c:v>230.61226474360615</c:v>
                </c:pt>
                <c:pt idx="10">
                  <c:v>232.49104458617356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1E-4A59-967A-2F38805F47B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911198600174978E-2"/>
                  <c:y val="-8.58657771945173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List1!$A$3:$A$13</c:f>
              <c:numCache>
                <c:formatCode>General</c:formatCode>
                <c:ptCount val="11"/>
                <c:pt idx="0">
                  <c:v>10.4</c:v>
                </c:pt>
                <c:pt idx="1">
                  <c:v>11.2</c:v>
                </c:pt>
                <c:pt idx="2">
                  <c:v>12.2</c:v>
                </c:pt>
                <c:pt idx="3">
                  <c:v>13.2</c:v>
                </c:pt>
                <c:pt idx="4">
                  <c:v>14.2</c:v>
                </c:pt>
                <c:pt idx="5">
                  <c:v>15.2</c:v>
                </c:pt>
                <c:pt idx="6">
                  <c:v>16.2</c:v>
                </c:pt>
                <c:pt idx="7">
                  <c:v>17.399999999999999</c:v>
                </c:pt>
                <c:pt idx="8">
                  <c:v>18.600000000000001</c:v>
                </c:pt>
                <c:pt idx="9">
                  <c:v>19.600000000000001</c:v>
                </c:pt>
                <c:pt idx="10">
                  <c:v>20.399999999999999</c:v>
                </c:pt>
              </c:numCache>
            </c:numRef>
          </c:xVal>
          <c:yVal>
            <c:numRef>
              <c:f>List1!$E$3:$E$13</c:f>
              <c:numCache>
                <c:formatCode>General</c:formatCode>
                <c:ptCount val="11"/>
                <c:pt idx="0">
                  <c:v>232.78485201295268</c:v>
                </c:pt>
                <c:pt idx="1">
                  <c:v>232.78485201295268</c:v>
                </c:pt>
                <c:pt idx="2">
                  <c:v>232.78485201295268</c:v>
                </c:pt>
                <c:pt idx="3">
                  <c:v>232.78485201295268</c:v>
                </c:pt>
                <c:pt idx="4">
                  <c:v>232.78485201295268</c:v>
                </c:pt>
                <c:pt idx="5">
                  <c:v>232.78485201295268</c:v>
                </c:pt>
                <c:pt idx="6">
                  <c:v>232.78485201295268</c:v>
                </c:pt>
                <c:pt idx="7">
                  <c:v>232.78485201295268</c:v>
                </c:pt>
                <c:pt idx="8">
                  <c:v>232.78485201295268</c:v>
                </c:pt>
                <c:pt idx="9">
                  <c:v>232.78485201295268</c:v>
                </c:pt>
                <c:pt idx="10">
                  <c:v>232.78485201295268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1E-4A59-967A-2F38805F4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30927"/>
        <c:axId val="431234287"/>
      </c:scatterChart>
      <c:valAx>
        <c:axId val="431230927"/>
        <c:scaling>
          <c:orientation val="minMax"/>
          <c:max val="2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U0</a:t>
                </a:r>
                <a:r>
                  <a:rPr lang="cs-CZ" baseline="0"/>
                  <a:t> (V)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1234287"/>
        <c:crosses val="autoZero"/>
        <c:crossBetween val="midCat"/>
      </c:valAx>
      <c:valAx>
        <c:axId val="43123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(pF)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123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 </a:t>
            </a:r>
            <a:r>
              <a:rPr lang="cs-CZ"/>
              <a:t>LCR </a:t>
            </a:r>
            <a:r>
              <a:rPr lang="cs-CZ" baseline="0"/>
              <a:t>metr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List1!$C$21</c:f>
              <c:strCache>
                <c:ptCount val="1"/>
                <c:pt idx="0">
                  <c:v>C (pF)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890288713910762"/>
                  <c:y val="-2.06587197433654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errBars>
            <c:errDir val="y"/>
            <c:errBarType val="both"/>
            <c:errValType val="fixedVal"/>
            <c:noEndCap val="0"/>
            <c:val val="0.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List1!$D$22:$D$36</c:f>
                <c:numCache>
                  <c:formatCode>General</c:formatCode>
                  <c:ptCount val="15"/>
                  <c:pt idx="0">
                    <c:v>0.1</c:v>
                  </c:pt>
                  <c:pt idx="1">
                    <c:v>8.2062283737024219E-2</c:v>
                  </c:pt>
                  <c:pt idx="2">
                    <c:v>6.589619377162631E-2</c:v>
                  </c:pt>
                  <c:pt idx="3">
                    <c:v>5.150173010380623E-2</c:v>
                  </c:pt>
                  <c:pt idx="4">
                    <c:v>3.8878892733564013E-2</c:v>
                  </c:pt>
                  <c:pt idx="5">
                    <c:v>2.8027681660899657E-2</c:v>
                  </c:pt>
                  <c:pt idx="6">
                    <c:v>1.894809688581315E-2</c:v>
                  </c:pt>
                  <c:pt idx="7">
                    <c:v>1.1640138408304501E-2</c:v>
                  </c:pt>
                  <c:pt idx="8">
                    <c:v>6.1038062283737034E-3</c:v>
                  </c:pt>
                  <c:pt idx="9">
                    <c:v>2.7777777777777779E-3</c:v>
                  </c:pt>
                  <c:pt idx="10">
                    <c:v>2.0408163265306124E-3</c:v>
                  </c:pt>
                  <c:pt idx="11">
                    <c:v>1E-3</c:v>
                  </c:pt>
                  <c:pt idx="12">
                    <c:v>3.4602076124567478E-4</c:v>
                  </c:pt>
                  <c:pt idx="13">
                    <c:v>1.6000000000000001E-4</c:v>
                  </c:pt>
                  <c:pt idx="14">
                    <c:v>8.163265306122449E-5</c:v>
                  </c:pt>
                </c:numCache>
              </c:numRef>
            </c:plus>
            <c:minus>
              <c:numRef>
                <c:f>List1!$D$22:$D$36</c:f>
                <c:numCache>
                  <c:formatCode>General</c:formatCode>
                  <c:ptCount val="15"/>
                  <c:pt idx="0">
                    <c:v>0.1</c:v>
                  </c:pt>
                  <c:pt idx="1">
                    <c:v>8.2062283737024219E-2</c:v>
                  </c:pt>
                  <c:pt idx="2">
                    <c:v>6.589619377162631E-2</c:v>
                  </c:pt>
                  <c:pt idx="3">
                    <c:v>5.150173010380623E-2</c:v>
                  </c:pt>
                  <c:pt idx="4">
                    <c:v>3.8878892733564013E-2</c:v>
                  </c:pt>
                  <c:pt idx="5">
                    <c:v>2.8027681660899657E-2</c:v>
                  </c:pt>
                  <c:pt idx="6">
                    <c:v>1.894809688581315E-2</c:v>
                  </c:pt>
                  <c:pt idx="7">
                    <c:v>1.1640138408304501E-2</c:v>
                  </c:pt>
                  <c:pt idx="8">
                    <c:v>6.1038062283737034E-3</c:v>
                  </c:pt>
                  <c:pt idx="9">
                    <c:v>2.7777777777777779E-3</c:v>
                  </c:pt>
                  <c:pt idx="10">
                    <c:v>2.0408163265306124E-3</c:v>
                  </c:pt>
                  <c:pt idx="11">
                    <c:v>1E-3</c:v>
                  </c:pt>
                  <c:pt idx="12">
                    <c:v>3.4602076124567478E-4</c:v>
                  </c:pt>
                  <c:pt idx="13">
                    <c:v>1.6000000000000001E-4</c:v>
                  </c:pt>
                  <c:pt idx="14">
                    <c:v>8.163265306122449E-5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List1!$B$22:$B$36</c:f>
              <c:numCache>
                <c:formatCode>General</c:formatCode>
                <c:ptCount val="15"/>
                <c:pt idx="0">
                  <c:v>1</c:v>
                </c:pt>
                <c:pt idx="1">
                  <c:v>0.90588235294117647</c:v>
                </c:pt>
                <c:pt idx="2">
                  <c:v>0.81176470588235294</c:v>
                </c:pt>
                <c:pt idx="3">
                  <c:v>0.71764705882352942</c:v>
                </c:pt>
                <c:pt idx="4">
                  <c:v>0.62352941176470589</c:v>
                </c:pt>
                <c:pt idx="5">
                  <c:v>0.52941176470588236</c:v>
                </c:pt>
                <c:pt idx="6">
                  <c:v>0.43529411764705883</c:v>
                </c:pt>
                <c:pt idx="7">
                  <c:v>0.3411764705882353</c:v>
                </c:pt>
                <c:pt idx="8">
                  <c:v>0.24705882352941178</c:v>
                </c:pt>
                <c:pt idx="9">
                  <c:v>0.16666666666666666</c:v>
                </c:pt>
                <c:pt idx="10">
                  <c:v>0.14285714285714285</c:v>
                </c:pt>
                <c:pt idx="11">
                  <c:v>0.1</c:v>
                </c:pt>
                <c:pt idx="12">
                  <c:v>5.8823529411764705E-2</c:v>
                </c:pt>
                <c:pt idx="13">
                  <c:v>0.04</c:v>
                </c:pt>
                <c:pt idx="14">
                  <c:v>2.8571428571428571E-2</c:v>
                </c:pt>
              </c:numCache>
            </c:numRef>
          </c:xVal>
          <c:yVal>
            <c:numRef>
              <c:f>List1!$C$22:$C$36</c:f>
              <c:numCache>
                <c:formatCode>General</c:formatCode>
                <c:ptCount val="15"/>
                <c:pt idx="0">
                  <c:v>486.6</c:v>
                </c:pt>
                <c:pt idx="1">
                  <c:v>442.4</c:v>
                </c:pt>
                <c:pt idx="2">
                  <c:v>382.6</c:v>
                </c:pt>
                <c:pt idx="3">
                  <c:v>353.2</c:v>
                </c:pt>
                <c:pt idx="4">
                  <c:v>313</c:v>
                </c:pt>
                <c:pt idx="5">
                  <c:v>260.7</c:v>
                </c:pt>
                <c:pt idx="6">
                  <c:v>215.2</c:v>
                </c:pt>
                <c:pt idx="7">
                  <c:v>166.4</c:v>
                </c:pt>
                <c:pt idx="8">
                  <c:v>121</c:v>
                </c:pt>
                <c:pt idx="9">
                  <c:v>93.2</c:v>
                </c:pt>
                <c:pt idx="10">
                  <c:v>81.8</c:v>
                </c:pt>
                <c:pt idx="11">
                  <c:v>61.4</c:v>
                </c:pt>
                <c:pt idx="12">
                  <c:v>41.4</c:v>
                </c:pt>
                <c:pt idx="13">
                  <c:v>32</c:v>
                </c:pt>
                <c:pt idx="14">
                  <c:v>26.2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41-420D-A723-A558F929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219407"/>
        <c:axId val="431222767"/>
      </c:scatterChart>
      <c:valAx>
        <c:axId val="431219407"/>
        <c:scaling>
          <c:orientation val="minMax"/>
          <c:max val="1.150000000000000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d^-1</a:t>
                </a:r>
                <a:r>
                  <a:rPr lang="cs-CZ" baseline="0"/>
                  <a:t> (mm^-1)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1222767"/>
        <c:crosses val="autoZero"/>
        <c:crossBetween val="midCat"/>
      </c:valAx>
      <c:valAx>
        <c:axId val="43122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(pF)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3121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0</xdr:row>
      <xdr:rowOff>49530</xdr:rowOff>
    </xdr:from>
    <xdr:to>
      <xdr:col>17</xdr:col>
      <xdr:colOff>30480</xdr:colOff>
      <xdr:row>15</xdr:row>
      <xdr:rowOff>49530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46AAEB3-9D66-DC96-B590-7A3CB9415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563880</xdr:colOff>
      <xdr:row>15</xdr:row>
      <xdr:rowOff>179070</xdr:rowOff>
    </xdr:from>
    <xdr:to>
      <xdr:col>16</xdr:col>
      <xdr:colOff>350520</xdr:colOff>
      <xdr:row>30</xdr:row>
      <xdr:rowOff>179070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68A0767D-025C-4C23-F7C2-F6DC0BE1D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ADD1-AAF6-45C9-A68E-5EEBAD1E4A12}">
  <dimension ref="A1:I45"/>
  <sheetViews>
    <sheetView tabSelected="1" topLeftCell="A25" zoomScaleNormal="100" workbookViewId="0">
      <selection activeCell="B38" sqref="B38"/>
    </sheetView>
  </sheetViews>
  <sheetFormatPr defaultRowHeight="14.4" x14ac:dyDescent="0.3"/>
  <cols>
    <col min="1" max="3" width="9" bestFit="1" customWidth="1"/>
    <col min="4" max="4" width="12.109375" bestFit="1" customWidth="1"/>
    <col min="5" max="5" width="9" bestFit="1" customWidth="1"/>
    <col min="6" max="6" width="8.21875" customWidth="1"/>
    <col min="7" max="9" width="9" bestFit="1" customWidth="1"/>
    <col min="14" max="14" width="13.44140625" bestFit="1" customWidth="1"/>
    <col min="15" max="15" width="9" bestFit="1" customWidth="1"/>
  </cols>
  <sheetData>
    <row r="1" spans="1:9" x14ac:dyDescent="0.3">
      <c r="A1" t="s">
        <v>21</v>
      </c>
      <c r="D1" t="s">
        <v>2</v>
      </c>
      <c r="E1">
        <f>2*3.14159265*100000</f>
        <v>628318.53</v>
      </c>
      <c r="F1">
        <f>100/100000*E1</f>
        <v>628.31853000000001</v>
      </c>
    </row>
    <row r="2" spans="1:9" x14ac:dyDescent="0.3">
      <c r="A2" t="s">
        <v>0</v>
      </c>
      <c r="B2" t="s">
        <v>1</v>
      </c>
      <c r="C2" t="s">
        <v>5</v>
      </c>
      <c r="D2" t="s">
        <v>4</v>
      </c>
      <c r="F2" t="s">
        <v>25</v>
      </c>
      <c r="G2" t="s">
        <v>24</v>
      </c>
      <c r="H2" t="s">
        <v>9</v>
      </c>
      <c r="I2" t="s">
        <v>8</v>
      </c>
    </row>
    <row r="3" spans="1:9" x14ac:dyDescent="0.3">
      <c r="A3">
        <v>10.4</v>
      </c>
      <c r="B3">
        <v>152</v>
      </c>
      <c r="C3">
        <f>B3/1000/100*1000</f>
        <v>1.5199999999999998</v>
      </c>
      <c r="D3">
        <f t="shared" ref="D3:D13" si="0">C3/1000/(A3*$E$1)*10^12</f>
        <v>232.611070938567</v>
      </c>
      <c r="E3">
        <f>$D$14</f>
        <v>232.78485201295268</v>
      </c>
      <c r="F3">
        <f>0.01*A3</f>
        <v>0.10400000000000001</v>
      </c>
      <c r="G3">
        <f>0.01*B3</f>
        <v>1.52</v>
      </c>
      <c r="H3">
        <f t="shared" ref="H3:H13" si="1">G3/B3*C3</f>
        <v>1.5199999999999998E-2</v>
      </c>
      <c r="I3">
        <f>D3*SQRT(SUMSQ(H3/C3,F3/A3,$F$1/$E$1))</f>
        <v>3.2978311016425015</v>
      </c>
    </row>
    <row r="4" spans="1:9" x14ac:dyDescent="0.3">
      <c r="A4">
        <v>11.2</v>
      </c>
      <c r="B4">
        <v>164</v>
      </c>
      <c r="C4">
        <f t="shared" ref="C4:C13" si="2">B4/1000/100*1000</f>
        <v>1.64</v>
      </c>
      <c r="D4">
        <f t="shared" si="0"/>
        <v>233.04830979371471</v>
      </c>
      <c r="E4">
        <f t="shared" ref="E4:E13" si="3">$D$14</f>
        <v>232.78485201295268</v>
      </c>
      <c r="F4">
        <f t="shared" ref="F4:F13" si="4">0.01*A4</f>
        <v>0.11199999999999999</v>
      </c>
      <c r="G4">
        <f t="shared" ref="G4:G13" si="5">0.01*B4</f>
        <v>1.6400000000000001</v>
      </c>
      <c r="H4">
        <f t="shared" si="1"/>
        <v>1.6399999999999998E-2</v>
      </c>
      <c r="I4">
        <f t="shared" ref="I4:I13" si="6">D4*SQRT(SUMSQ(H4/C4,F4/A4,$F$1/$E$1))</f>
        <v>3.3040300322846874</v>
      </c>
    </row>
    <row r="5" spans="1:9" x14ac:dyDescent="0.3">
      <c r="A5">
        <v>12.2</v>
      </c>
      <c r="B5">
        <v>180</v>
      </c>
      <c r="C5">
        <f t="shared" si="2"/>
        <v>1.8</v>
      </c>
      <c r="D5">
        <f t="shared" si="0"/>
        <v>234.81876876455863</v>
      </c>
      <c r="E5">
        <f t="shared" si="3"/>
        <v>232.78485201295268</v>
      </c>
      <c r="F5">
        <f t="shared" si="4"/>
        <v>0.122</v>
      </c>
      <c r="G5">
        <f t="shared" si="5"/>
        <v>1.8</v>
      </c>
      <c r="H5">
        <f t="shared" si="1"/>
        <v>1.8000000000000002E-2</v>
      </c>
      <c r="I5">
        <f t="shared" si="6"/>
        <v>3.3291306202948472</v>
      </c>
    </row>
    <row r="6" spans="1:9" x14ac:dyDescent="0.3">
      <c r="A6">
        <v>13.2</v>
      </c>
      <c r="B6">
        <v>194</v>
      </c>
      <c r="C6">
        <f t="shared" si="2"/>
        <v>1.9400000000000002</v>
      </c>
      <c r="D6">
        <f t="shared" si="0"/>
        <v>233.90953784173288</v>
      </c>
      <c r="E6">
        <f t="shared" si="3"/>
        <v>232.78485201295268</v>
      </c>
      <c r="F6">
        <f t="shared" si="4"/>
        <v>0.13200000000000001</v>
      </c>
      <c r="G6">
        <f t="shared" si="5"/>
        <v>1.94</v>
      </c>
      <c r="H6">
        <f t="shared" si="1"/>
        <v>1.9400000000000001E-2</v>
      </c>
      <c r="I6">
        <f t="shared" si="6"/>
        <v>3.3162400471859614</v>
      </c>
    </row>
    <row r="7" spans="1:9" x14ac:dyDescent="0.3">
      <c r="A7">
        <v>14.2</v>
      </c>
      <c r="B7">
        <v>208</v>
      </c>
      <c r="C7">
        <f t="shared" si="2"/>
        <v>2.0799999999999996</v>
      </c>
      <c r="D7">
        <f t="shared" si="0"/>
        <v>233.12836761226285</v>
      </c>
      <c r="E7">
        <f t="shared" si="3"/>
        <v>232.78485201295268</v>
      </c>
      <c r="F7">
        <f t="shared" si="4"/>
        <v>0.14199999999999999</v>
      </c>
      <c r="G7">
        <f t="shared" si="5"/>
        <v>2.08</v>
      </c>
      <c r="H7">
        <f t="shared" si="1"/>
        <v>2.0799999999999996E-2</v>
      </c>
      <c r="I7">
        <f t="shared" si="6"/>
        <v>3.3051650477543828</v>
      </c>
    </row>
    <row r="8" spans="1:9" x14ac:dyDescent="0.3">
      <c r="A8">
        <v>15.2</v>
      </c>
      <c r="B8">
        <v>224</v>
      </c>
      <c r="C8">
        <f t="shared" si="2"/>
        <v>2.2400000000000002</v>
      </c>
      <c r="D8">
        <f t="shared" si="0"/>
        <v>234.54412692974626</v>
      </c>
      <c r="E8">
        <f t="shared" si="3"/>
        <v>232.78485201295268</v>
      </c>
      <c r="F8">
        <f t="shared" si="4"/>
        <v>0.152</v>
      </c>
      <c r="G8">
        <f t="shared" si="5"/>
        <v>2.2400000000000002</v>
      </c>
      <c r="H8">
        <f t="shared" si="1"/>
        <v>2.2400000000000003E-2</v>
      </c>
      <c r="I8">
        <f t="shared" si="6"/>
        <v>3.32523690027111</v>
      </c>
    </row>
    <row r="9" spans="1:9" x14ac:dyDescent="0.3">
      <c r="A9">
        <v>16.2</v>
      </c>
      <c r="B9">
        <v>238</v>
      </c>
      <c r="C9">
        <f t="shared" si="2"/>
        <v>2.38</v>
      </c>
      <c r="D9">
        <f t="shared" si="0"/>
        <v>233.82022530341982</v>
      </c>
      <c r="E9">
        <f t="shared" si="3"/>
        <v>232.78485201295268</v>
      </c>
      <c r="F9">
        <f t="shared" si="4"/>
        <v>0.16200000000000001</v>
      </c>
      <c r="G9">
        <f t="shared" si="5"/>
        <v>2.38</v>
      </c>
      <c r="H9">
        <f t="shared" si="1"/>
        <v>2.3799999999999998E-2</v>
      </c>
      <c r="I9">
        <f t="shared" si="6"/>
        <v>3.3149738234184207</v>
      </c>
    </row>
    <row r="10" spans="1:9" x14ac:dyDescent="0.3">
      <c r="A10">
        <v>17.399999999999999</v>
      </c>
      <c r="B10">
        <v>254</v>
      </c>
      <c r="C10">
        <f t="shared" si="2"/>
        <v>2.54</v>
      </c>
      <c r="D10">
        <f t="shared" si="0"/>
        <v>232.329629836403</v>
      </c>
      <c r="E10">
        <f t="shared" si="3"/>
        <v>232.78485201295268</v>
      </c>
      <c r="F10">
        <f t="shared" si="4"/>
        <v>0.17399999999999999</v>
      </c>
      <c r="G10">
        <f t="shared" si="5"/>
        <v>2.54</v>
      </c>
      <c r="H10">
        <f t="shared" si="1"/>
        <v>2.5400000000000002E-2</v>
      </c>
      <c r="I10">
        <f t="shared" si="6"/>
        <v>3.2938409853670727</v>
      </c>
    </row>
    <row r="11" spans="1:9" x14ac:dyDescent="0.3">
      <c r="A11">
        <v>18.600000000000001</v>
      </c>
      <c r="B11">
        <v>268</v>
      </c>
      <c r="C11">
        <f t="shared" si="2"/>
        <v>2.68</v>
      </c>
      <c r="D11">
        <f t="shared" si="0"/>
        <v>229.3200257922941</v>
      </c>
      <c r="E11">
        <f t="shared" si="3"/>
        <v>232.78485201295268</v>
      </c>
      <c r="F11">
        <f t="shared" si="4"/>
        <v>0.18600000000000003</v>
      </c>
      <c r="G11">
        <f t="shared" si="5"/>
        <v>2.68</v>
      </c>
      <c r="H11">
        <f t="shared" si="1"/>
        <v>2.6800000000000001E-2</v>
      </c>
      <c r="I11">
        <f t="shared" si="6"/>
        <v>3.251172483905624</v>
      </c>
    </row>
    <row r="12" spans="1:9" x14ac:dyDescent="0.3">
      <c r="A12">
        <v>19.600000000000001</v>
      </c>
      <c r="B12">
        <v>284</v>
      </c>
      <c r="C12">
        <f t="shared" si="2"/>
        <v>2.84</v>
      </c>
      <c r="D12">
        <f t="shared" si="0"/>
        <v>230.61226474360615</v>
      </c>
      <c r="E12">
        <f t="shared" si="3"/>
        <v>232.78485201295268</v>
      </c>
      <c r="F12">
        <f t="shared" si="4"/>
        <v>0.19600000000000001</v>
      </c>
      <c r="G12">
        <f t="shared" si="5"/>
        <v>2.84</v>
      </c>
      <c r="H12">
        <f t="shared" si="1"/>
        <v>2.8399999999999998E-2</v>
      </c>
      <c r="I12">
        <f t="shared" si="6"/>
        <v>3.2694931329925123</v>
      </c>
    </row>
    <row r="13" spans="1:9" x14ac:dyDescent="0.3">
      <c r="A13">
        <v>20.399999999999999</v>
      </c>
      <c r="B13">
        <v>298</v>
      </c>
      <c r="C13">
        <f t="shared" si="2"/>
        <v>2.98</v>
      </c>
      <c r="D13">
        <f t="shared" si="0"/>
        <v>232.49104458617356</v>
      </c>
      <c r="E13">
        <f t="shared" si="3"/>
        <v>232.78485201295268</v>
      </c>
      <c r="F13">
        <f t="shared" si="4"/>
        <v>0.20399999999999999</v>
      </c>
      <c r="G13">
        <f t="shared" si="5"/>
        <v>2.98</v>
      </c>
      <c r="H13">
        <f t="shared" si="1"/>
        <v>2.98E-2</v>
      </c>
      <c r="I13">
        <f t="shared" si="6"/>
        <v>3.2961294344073928</v>
      </c>
    </row>
    <row r="14" spans="1:9" x14ac:dyDescent="0.3">
      <c r="C14" s="1" t="s">
        <v>23</v>
      </c>
      <c r="D14" s="1">
        <f>AVERAGE(D3:D13)</f>
        <v>232.78485201295268</v>
      </c>
      <c r="E14">
        <f>SQRT(SUMSQ(D14-D3,D14-D4,D14-D5,D14-D6,D14-D7,D14-D8,D14-D9,D14-D10,D14-D11,D14-D12,D14-D13)/10)</f>
        <v>1.6372263342850684</v>
      </c>
    </row>
    <row r="20" spans="1:9" x14ac:dyDescent="0.3">
      <c r="A20" t="s">
        <v>22</v>
      </c>
      <c r="C20">
        <f>(B34-B22)/10</f>
        <v>-9.4117647058823528E-2</v>
      </c>
    </row>
    <row r="21" spans="1:9" x14ac:dyDescent="0.3">
      <c r="A21" t="s">
        <v>3</v>
      </c>
      <c r="B21" t="s">
        <v>6</v>
      </c>
      <c r="C21" t="s">
        <v>4</v>
      </c>
      <c r="D21" t="s">
        <v>7</v>
      </c>
      <c r="E21" t="s">
        <v>8</v>
      </c>
      <c r="G21">
        <f>470.97*10^-15</f>
        <v>4.7097000000000006E-13</v>
      </c>
      <c r="H21">
        <f>0.01/10^15</f>
        <v>1.0000000000000001E-17</v>
      </c>
      <c r="I21" t="s">
        <v>11</v>
      </c>
    </row>
    <row r="22" spans="1:9" x14ac:dyDescent="0.3">
      <c r="A22">
        <v>1</v>
      </c>
      <c r="B22">
        <f>1/A22</f>
        <v>1</v>
      </c>
      <c r="C22">
        <v>486.6</v>
      </c>
      <c r="D22">
        <f>0.1/A22^2</f>
        <v>0.1</v>
      </c>
      <c r="E22">
        <f>0.005*C22</f>
        <v>2.4330000000000003</v>
      </c>
      <c r="G22">
        <f>26/100</f>
        <v>0.26</v>
      </c>
      <c r="H22">
        <v>1E-3</v>
      </c>
      <c r="I22" t="s">
        <v>13</v>
      </c>
    </row>
    <row r="23" spans="1:9" x14ac:dyDescent="0.3">
      <c r="A23">
        <f>1/B23</f>
        <v>1.1038961038961039</v>
      </c>
      <c r="B23">
        <f t="shared" ref="B23:B30" si="7">B22+$C$20</f>
        <v>0.90588235294117647</v>
      </c>
      <c r="C23">
        <v>442.4</v>
      </c>
      <c r="D23">
        <f t="shared" ref="D23:D35" si="8">0.1/A23^2</f>
        <v>8.2062283737024219E-2</v>
      </c>
      <c r="E23">
        <f t="shared" ref="E23:E36" si="9">0.005*C23</f>
        <v>2.2119999999999997</v>
      </c>
      <c r="G23">
        <f>3.1415926536/4*G22^2</f>
        <v>5.3092915845840007E-2</v>
      </c>
      <c r="H23">
        <f>G23*2*H22/G22</f>
        <v>4.0840704496800004E-4</v>
      </c>
      <c r="I23" t="s">
        <v>12</v>
      </c>
    </row>
    <row r="24" spans="1:9" x14ac:dyDescent="0.3">
      <c r="A24">
        <f t="shared" ref="A24:A30" si="10">1/B24</f>
        <v>1.2318840579710144</v>
      </c>
      <c r="B24">
        <f t="shared" si="7"/>
        <v>0.81176470588235294</v>
      </c>
      <c r="C24">
        <v>382.6</v>
      </c>
      <c r="D24">
        <f t="shared" si="8"/>
        <v>6.589619377162631E-2</v>
      </c>
      <c r="E24">
        <f t="shared" si="9"/>
        <v>1.9130000000000003</v>
      </c>
      <c r="G24" s="1">
        <f>G21/G23</f>
        <v>8.8706749760646641E-12</v>
      </c>
      <c r="H24">
        <f>SQRT(SUMSQ(H21/G21,H23/G23))*G24</f>
        <v>6.8236221300085566E-14</v>
      </c>
      <c r="I24" s="1" t="s">
        <v>14</v>
      </c>
    </row>
    <row r="25" spans="1:9" x14ac:dyDescent="0.3">
      <c r="A25">
        <f t="shared" si="10"/>
        <v>1.3934426229508197</v>
      </c>
      <c r="B25">
        <f t="shared" si="7"/>
        <v>0.71764705882352942</v>
      </c>
      <c r="C25">
        <v>353.2</v>
      </c>
      <c r="D25">
        <f t="shared" si="8"/>
        <v>5.150173010380623E-2</v>
      </c>
      <c r="E25">
        <f t="shared" si="9"/>
        <v>1.766</v>
      </c>
      <c r="G25">
        <f>8.854*10^-12</f>
        <v>8.8539999999999992E-12</v>
      </c>
      <c r="I25" t="s">
        <v>30</v>
      </c>
    </row>
    <row r="26" spans="1:9" x14ac:dyDescent="0.3">
      <c r="A26">
        <f t="shared" si="10"/>
        <v>1.6037735849056605</v>
      </c>
      <c r="B26">
        <f t="shared" si="7"/>
        <v>0.62352941176470589</v>
      </c>
      <c r="C26">
        <v>313</v>
      </c>
      <c r="D26">
        <f t="shared" si="8"/>
        <v>3.8878892733564013E-2</v>
      </c>
      <c r="E26">
        <f t="shared" si="9"/>
        <v>1.5649999999999999</v>
      </c>
    </row>
    <row r="27" spans="1:9" x14ac:dyDescent="0.3">
      <c r="A27">
        <f t="shared" si="10"/>
        <v>1.8888888888888888</v>
      </c>
      <c r="B27">
        <f t="shared" si="7"/>
        <v>0.52941176470588236</v>
      </c>
      <c r="C27">
        <v>260.7</v>
      </c>
      <c r="D27">
        <f t="shared" si="8"/>
        <v>2.8027681660899657E-2</v>
      </c>
      <c r="E27">
        <f t="shared" si="9"/>
        <v>1.3034999999999999</v>
      </c>
    </row>
    <row r="28" spans="1:9" x14ac:dyDescent="0.3">
      <c r="A28">
        <f t="shared" si="10"/>
        <v>2.2972972972972974</v>
      </c>
      <c r="B28">
        <f t="shared" si="7"/>
        <v>0.43529411764705883</v>
      </c>
      <c r="C28">
        <v>215.2</v>
      </c>
      <c r="D28">
        <f t="shared" si="8"/>
        <v>1.894809688581315E-2</v>
      </c>
      <c r="E28">
        <f t="shared" si="9"/>
        <v>1.0760000000000001</v>
      </c>
    </row>
    <row r="29" spans="1:9" x14ac:dyDescent="0.3">
      <c r="A29">
        <f t="shared" si="10"/>
        <v>2.9310344827586206</v>
      </c>
      <c r="B29">
        <f t="shared" si="7"/>
        <v>0.3411764705882353</v>
      </c>
      <c r="C29">
        <v>166.4</v>
      </c>
      <c r="D29">
        <f t="shared" si="8"/>
        <v>1.1640138408304501E-2</v>
      </c>
      <c r="E29">
        <f t="shared" si="9"/>
        <v>0.83200000000000007</v>
      </c>
    </row>
    <row r="30" spans="1:9" x14ac:dyDescent="0.3">
      <c r="A30">
        <f t="shared" si="10"/>
        <v>4.0476190476190474</v>
      </c>
      <c r="B30">
        <f t="shared" si="7"/>
        <v>0.24705882352941178</v>
      </c>
      <c r="C30">
        <v>121</v>
      </c>
      <c r="D30">
        <f t="shared" si="8"/>
        <v>6.1038062283737034E-3</v>
      </c>
      <c r="E30">
        <f t="shared" si="9"/>
        <v>0.60499999999999998</v>
      </c>
    </row>
    <row r="31" spans="1:9" x14ac:dyDescent="0.3">
      <c r="A31">
        <v>6</v>
      </c>
      <c r="B31">
        <f t="shared" ref="B31:B36" si="11">1/A31</f>
        <v>0.16666666666666666</v>
      </c>
      <c r="C31">
        <v>93.2</v>
      </c>
      <c r="D31">
        <f t="shared" si="8"/>
        <v>2.7777777777777779E-3</v>
      </c>
      <c r="E31">
        <f t="shared" si="9"/>
        <v>0.46600000000000003</v>
      </c>
    </row>
    <row r="32" spans="1:9" x14ac:dyDescent="0.3">
      <c r="A32">
        <v>7</v>
      </c>
      <c r="B32">
        <f t="shared" si="11"/>
        <v>0.14285714285714285</v>
      </c>
      <c r="C32">
        <v>81.8</v>
      </c>
      <c r="D32">
        <f t="shared" si="8"/>
        <v>2.0408163265306124E-3</v>
      </c>
      <c r="E32">
        <f t="shared" si="9"/>
        <v>0.40899999999999997</v>
      </c>
    </row>
    <row r="33" spans="1:9" x14ac:dyDescent="0.3">
      <c r="A33">
        <v>10</v>
      </c>
      <c r="B33">
        <f t="shared" si="11"/>
        <v>0.1</v>
      </c>
      <c r="C33">
        <v>61.4</v>
      </c>
      <c r="D33">
        <f t="shared" si="8"/>
        <v>1E-3</v>
      </c>
      <c r="E33">
        <f t="shared" si="9"/>
        <v>0.307</v>
      </c>
    </row>
    <row r="34" spans="1:9" x14ac:dyDescent="0.3">
      <c r="A34">
        <v>17</v>
      </c>
      <c r="B34">
        <f t="shared" si="11"/>
        <v>5.8823529411764705E-2</v>
      </c>
      <c r="C34">
        <v>41.4</v>
      </c>
      <c r="D34">
        <f t="shared" si="8"/>
        <v>3.4602076124567478E-4</v>
      </c>
      <c r="E34">
        <f t="shared" si="9"/>
        <v>0.20699999999999999</v>
      </c>
    </row>
    <row r="35" spans="1:9" x14ac:dyDescent="0.3">
      <c r="A35">
        <v>25</v>
      </c>
      <c r="B35">
        <f t="shared" si="11"/>
        <v>0.04</v>
      </c>
      <c r="C35">
        <v>32</v>
      </c>
      <c r="D35">
        <f t="shared" si="8"/>
        <v>1.6000000000000001E-4</v>
      </c>
      <c r="E35">
        <f t="shared" si="9"/>
        <v>0.16</v>
      </c>
    </row>
    <row r="36" spans="1:9" x14ac:dyDescent="0.3">
      <c r="A36">
        <v>35</v>
      </c>
      <c r="B36">
        <f t="shared" si="11"/>
        <v>2.8571428571428571E-2</v>
      </c>
      <c r="C36">
        <v>26.2</v>
      </c>
      <c r="D36">
        <f>0.1/A36^2</f>
        <v>8.163265306122449E-5</v>
      </c>
      <c r="E36">
        <f t="shared" si="9"/>
        <v>0.13100000000000001</v>
      </c>
    </row>
    <row r="40" spans="1:9" x14ac:dyDescent="0.3">
      <c r="A40" t="s">
        <v>31</v>
      </c>
      <c r="B40" t="s">
        <v>3</v>
      </c>
      <c r="C40" t="s">
        <v>4</v>
      </c>
      <c r="D40" t="s">
        <v>16</v>
      </c>
      <c r="E40" t="s">
        <v>15</v>
      </c>
      <c r="F40" t="s">
        <v>26</v>
      </c>
      <c r="G40" t="s">
        <v>27</v>
      </c>
      <c r="H40" t="s">
        <v>28</v>
      </c>
      <c r="I40" t="s">
        <v>29</v>
      </c>
    </row>
    <row r="41" spans="1:9" x14ac:dyDescent="0.3">
      <c r="A41" t="s">
        <v>10</v>
      </c>
      <c r="B41">
        <v>5.75</v>
      </c>
      <c r="C41">
        <v>599.20000000000005</v>
      </c>
      <c r="D41">
        <v>100.8</v>
      </c>
      <c r="E41">
        <f>C41/D41</f>
        <v>5.9444444444444446</v>
      </c>
      <c r="F41">
        <v>0.1</v>
      </c>
      <c r="G41">
        <f>0.005*C41</f>
        <v>2.9960000000000004</v>
      </c>
      <c r="H41">
        <f>0.005*D41</f>
        <v>0.504</v>
      </c>
      <c r="I41">
        <f>E41*SQRT(SUMSQ(G41/C41,H41/D41))</f>
        <v>4.2033569770533658E-2</v>
      </c>
    </row>
    <row r="42" spans="1:9" x14ac:dyDescent="0.3">
      <c r="A42" t="s">
        <v>17</v>
      </c>
      <c r="B42">
        <v>4.2</v>
      </c>
      <c r="C42">
        <v>357.4</v>
      </c>
      <c r="D42">
        <v>126.1</v>
      </c>
      <c r="E42">
        <f t="shared" ref="E42:E45" si="12">C42/D42</f>
        <v>2.8342585249801746</v>
      </c>
      <c r="F42">
        <v>0.1</v>
      </c>
      <c r="G42">
        <f t="shared" ref="G42:G45" si="13">0.005*C42</f>
        <v>1.7869999999999999</v>
      </c>
      <c r="H42">
        <f t="shared" ref="H42:H45" si="14">0.005*D42</f>
        <v>0.63049999999999995</v>
      </c>
      <c r="I42">
        <f t="shared" ref="I42:I45" si="15">E42*SQRT(SUMSQ(G42/C42,H42/D42))</f>
        <v>2.0041234226492632E-2</v>
      </c>
    </row>
    <row r="43" spans="1:9" x14ac:dyDescent="0.3">
      <c r="A43" t="s">
        <v>18</v>
      </c>
      <c r="B43">
        <v>7.6</v>
      </c>
      <c r="C43">
        <v>164.7</v>
      </c>
      <c r="D43">
        <v>77.5</v>
      </c>
      <c r="E43">
        <f t="shared" si="12"/>
        <v>2.1251612903225805</v>
      </c>
      <c r="F43">
        <v>0.1</v>
      </c>
      <c r="G43">
        <f t="shared" si="13"/>
        <v>0.82350000000000001</v>
      </c>
      <c r="H43">
        <f t="shared" si="14"/>
        <v>0.38750000000000001</v>
      </c>
      <c r="I43">
        <f t="shared" si="15"/>
        <v>1.50271595950225E-2</v>
      </c>
    </row>
    <row r="44" spans="1:9" x14ac:dyDescent="0.3">
      <c r="A44" t="s">
        <v>19</v>
      </c>
      <c r="B44">
        <v>7.9</v>
      </c>
      <c r="C44">
        <v>152.1</v>
      </c>
      <c r="D44">
        <v>74.2</v>
      </c>
      <c r="E44">
        <f t="shared" si="12"/>
        <v>2.0498652291105119</v>
      </c>
      <c r="F44">
        <v>0.1</v>
      </c>
      <c r="G44">
        <f t="shared" si="13"/>
        <v>0.76049999999999995</v>
      </c>
      <c r="H44">
        <f t="shared" si="14"/>
        <v>0.371</v>
      </c>
      <c r="I44">
        <f t="shared" si="15"/>
        <v>1.449473604022559E-2</v>
      </c>
    </row>
    <row r="45" spans="1:9" x14ac:dyDescent="0.3">
      <c r="A45" t="s">
        <v>20</v>
      </c>
      <c r="B45">
        <v>7.9</v>
      </c>
      <c r="C45">
        <v>155.4</v>
      </c>
      <c r="D45">
        <v>74.7</v>
      </c>
      <c r="E45">
        <f t="shared" si="12"/>
        <v>2.0803212851405624</v>
      </c>
      <c r="F45">
        <v>0.1</v>
      </c>
      <c r="G45">
        <f t="shared" si="13"/>
        <v>0.77700000000000002</v>
      </c>
      <c r="H45">
        <f t="shared" si="14"/>
        <v>0.3735</v>
      </c>
      <c r="I45">
        <f t="shared" si="15"/>
        <v>1.4710092877696051E-2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2025-10-20T12:59:36Z</dcterms:created>
  <dcterms:modified xsi:type="dcterms:W3CDTF">2025-10-25T19:58:10Z</dcterms:modified>
</cp:coreProperties>
</file>