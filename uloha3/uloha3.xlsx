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"/>
    </mc:Choice>
  </mc:AlternateContent>
  <xr:revisionPtr revIDLastSave="0" documentId="13_ncr:1_{7D15B8D5-6C3D-46AA-8780-557019A81B33}" xr6:coauthVersionLast="47" xr6:coauthVersionMax="47" xr10:uidLastSave="{00000000-0000-0000-0000-000000000000}"/>
  <bookViews>
    <workbookView xWindow="-108" yWindow="-108" windowWidth="23256" windowHeight="12456" xr2:uid="{2E821751-FBB3-46D7-B215-CF2825CAC83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F37" i="1"/>
  <c r="E37" i="1"/>
  <c r="D37" i="1"/>
  <c r="D38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I25" i="1" s="1"/>
  <c r="H11" i="1"/>
  <c r="E34" i="1"/>
  <c r="E33" i="1"/>
  <c r="C34" i="1"/>
  <c r="C33" i="1"/>
  <c r="B30" i="1"/>
  <c r="D24" i="1"/>
  <c r="D25" i="1"/>
  <c r="C24" i="1"/>
  <c r="E24" i="1" s="1"/>
  <c r="C25" i="1"/>
  <c r="E25" i="1" s="1"/>
  <c r="C23" i="1"/>
  <c r="E23" i="1" s="1"/>
  <c r="F4" i="1"/>
  <c r="G4" i="1" s="1"/>
  <c r="C22" i="1"/>
  <c r="E22" i="1" s="1"/>
  <c r="C21" i="1"/>
  <c r="E11" i="1"/>
  <c r="E12" i="1"/>
  <c r="E13" i="1"/>
  <c r="E14" i="1"/>
  <c r="E15" i="1"/>
  <c r="E16" i="1"/>
  <c r="E17" i="1"/>
  <c r="E18" i="1"/>
  <c r="E19" i="1"/>
  <c r="E20" i="1"/>
  <c r="E21" i="1"/>
  <c r="C20" i="1"/>
  <c r="C19" i="1"/>
  <c r="C18" i="1"/>
  <c r="C17" i="1"/>
  <c r="C16" i="1"/>
  <c r="C15" i="1"/>
  <c r="C14" i="1"/>
  <c r="C13" i="1"/>
  <c r="D15" i="1"/>
  <c r="D14" i="1"/>
  <c r="C12" i="1"/>
  <c r="C11" i="1"/>
  <c r="D23" i="1"/>
  <c r="D22" i="1"/>
  <c r="D21" i="1"/>
  <c r="D20" i="1"/>
  <c r="D19" i="1"/>
  <c r="D18" i="1"/>
  <c r="D17" i="1"/>
  <c r="D16" i="1"/>
  <c r="D13" i="1"/>
  <c r="D12" i="1"/>
  <c r="D11" i="1"/>
  <c r="H5" i="1"/>
  <c r="H6" i="1"/>
  <c r="H7" i="1"/>
  <c r="E7" i="1"/>
  <c r="G5" i="1"/>
  <c r="G6" i="1"/>
  <c r="E6" i="1"/>
  <c r="E5" i="1"/>
  <c r="F5" i="1"/>
  <c r="F6" i="1"/>
  <c r="F7" i="1"/>
  <c r="G7" i="1" s="1"/>
  <c r="E4" i="1"/>
  <c r="D7" i="1"/>
  <c r="D6" i="1"/>
  <c r="D5" i="1"/>
  <c r="D4" i="1"/>
  <c r="H4" i="1" l="1"/>
  <c r="G8" i="1"/>
  <c r="F25" i="1" s="1"/>
  <c r="F14" i="1"/>
  <c r="F11" i="1"/>
  <c r="F19" i="1"/>
  <c r="F21" i="1"/>
  <c r="F20" i="1"/>
  <c r="F23" i="1"/>
  <c r="F24" i="1"/>
  <c r="F22" i="1" l="1"/>
  <c r="F13" i="1"/>
  <c r="F12" i="1"/>
  <c r="F15" i="1"/>
  <c r="F17" i="1"/>
  <c r="F16" i="1"/>
  <c r="F18" i="1"/>
  <c r="H8" i="1"/>
</calcChain>
</file>

<file path=xl/sharedStrings.xml><?xml version="1.0" encoding="utf-8"?>
<sst xmlns="http://schemas.openxmlformats.org/spreadsheetml/2006/main" count="49" uniqueCount="31">
  <si>
    <t>Na</t>
  </si>
  <si>
    <t>k</t>
  </si>
  <si>
    <t>a</t>
  </si>
  <si>
    <t>a (nm)</t>
  </si>
  <si>
    <t>phi1 (°)</t>
  </si>
  <si>
    <t>psi2 (°)</t>
  </si>
  <si>
    <t>lambda (nm)</t>
  </si>
  <si>
    <t>psi1 (°)</t>
  </si>
  <si>
    <t>N (mm-1)</t>
  </si>
  <si>
    <t>Hg</t>
  </si>
  <si>
    <t>k=1</t>
  </si>
  <si>
    <t>barva</t>
  </si>
  <si>
    <t>červená</t>
  </si>
  <si>
    <t>žlutá</t>
  </si>
  <si>
    <t>zelená</t>
  </si>
  <si>
    <t>modrozelená</t>
  </si>
  <si>
    <t>modrá</t>
  </si>
  <si>
    <t>fialová</t>
  </si>
  <si>
    <t>mřížková konstanta</t>
  </si>
  <si>
    <t>rozlišovací schopnost</t>
  </si>
  <si>
    <t>(589/0,6)</t>
  </si>
  <si>
    <t>1. řád</t>
  </si>
  <si>
    <t>2. řád</t>
  </si>
  <si>
    <t>teoretická</t>
  </si>
  <si>
    <t>tabulková</t>
  </si>
  <si>
    <t>sigma_psi=2'</t>
  </si>
  <si>
    <t>b</t>
  </si>
  <si>
    <t>y = ax + b</t>
  </si>
  <si>
    <t>kalibrace</t>
  </si>
  <si>
    <t>rezidua</t>
  </si>
  <si>
    <t>úhlová disperze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</si>
</sst>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Kalibrační</a:t>
            </a:r>
            <a:r>
              <a:rPr lang="cs-CZ" baseline="0"/>
              <a:t> křivka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231299212598424"/>
                  <c:y val="-1.00925925925925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List1!$E$11:$E$25</c:f>
              <c:numCache>
                <c:formatCode>General</c:formatCode>
                <c:ptCount val="15"/>
                <c:pt idx="0">
                  <c:v>14.158333333333331</c:v>
                </c:pt>
                <c:pt idx="1">
                  <c:v>14.25</c:v>
                </c:pt>
                <c:pt idx="2">
                  <c:v>15.199999999999989</c:v>
                </c:pt>
                <c:pt idx="3">
                  <c:v>15.23333333333332</c:v>
                </c:pt>
                <c:pt idx="4">
                  <c:v>15.26666666666668</c:v>
                </c:pt>
                <c:pt idx="5">
                  <c:v>17.208333333333343</c:v>
                </c:pt>
                <c:pt idx="6">
                  <c:v>17.416666666666657</c:v>
                </c:pt>
                <c:pt idx="7">
                  <c:v>19.208333333333314</c:v>
                </c:pt>
                <c:pt idx="8">
                  <c:v>20.35833333333332</c:v>
                </c:pt>
                <c:pt idx="9">
                  <c:v>20.441666666666663</c:v>
                </c:pt>
                <c:pt idx="10">
                  <c:v>21.449999999999989</c:v>
                </c:pt>
                <c:pt idx="11">
                  <c:v>21.625</c:v>
                </c:pt>
                <c:pt idx="12">
                  <c:v>22.033333333333331</c:v>
                </c:pt>
                <c:pt idx="13">
                  <c:v>23.916666666666657</c:v>
                </c:pt>
                <c:pt idx="14">
                  <c:v>24.64166666666668</c:v>
                </c:pt>
              </c:numCache>
            </c:numRef>
          </c:xVal>
          <c:yVal>
            <c:numRef>
              <c:f>List1!$F$11:$F$25</c:f>
              <c:numCache>
                <c:formatCode>General</c:formatCode>
                <c:ptCount val="15"/>
                <c:pt idx="0">
                  <c:v>404.91261776159268</c:v>
                </c:pt>
                <c:pt idx="1">
                  <c:v>407.48008456390357</c:v>
                </c:pt>
                <c:pt idx="2">
                  <c:v>434.02575431759942</c:v>
                </c:pt>
                <c:pt idx="3">
                  <c:v>434.9550571004562</c:v>
                </c:pt>
                <c:pt idx="4">
                  <c:v>435.88421266677693</c:v>
                </c:pt>
                <c:pt idx="5">
                  <c:v>489.74260552720949</c:v>
                </c:pt>
                <c:pt idx="6">
                  <c:v>495.48908269927102</c:v>
                </c:pt>
                <c:pt idx="7">
                  <c:v>544.63044133234757</c:v>
                </c:pt>
                <c:pt idx="8">
                  <c:v>575.89474128273287</c:v>
                </c:pt>
                <c:pt idx="9">
                  <c:v>578.15140627982339</c:v>
                </c:pt>
                <c:pt idx="10">
                  <c:v>605.35872507703652</c:v>
                </c:pt>
                <c:pt idx="11">
                  <c:v>610.06179908082777</c:v>
                </c:pt>
                <c:pt idx="12">
                  <c:v>621.01343022121353</c:v>
                </c:pt>
                <c:pt idx="13">
                  <c:v>671.10818061459474</c:v>
                </c:pt>
                <c:pt idx="14">
                  <c:v>690.20209919306217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5-4ECF-90BA-11A6AC21E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79839"/>
        <c:axId val="2027163519"/>
      </c:scatterChart>
      <c:valAx>
        <c:axId val="2027179839"/>
        <c:scaling>
          <c:orientation val="minMax"/>
          <c:max val="25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27163519"/>
        <c:crosses val="autoZero"/>
        <c:crossBetween val="midCat"/>
      </c:valAx>
      <c:valAx>
        <c:axId val="2027163519"/>
        <c:scaling>
          <c:orientation val="minMax"/>
          <c:max val="7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2717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List1!$I$10</c:f>
              <c:strCache>
                <c:ptCount val="1"/>
                <c:pt idx="0">
                  <c:v>rezidua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8.1671041119860018E-3"/>
                  <c:y val="-0.6647368037328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List1!$E$11:$E$25</c:f>
              <c:numCache>
                <c:formatCode>General</c:formatCode>
                <c:ptCount val="15"/>
                <c:pt idx="0">
                  <c:v>14.158333333333331</c:v>
                </c:pt>
                <c:pt idx="1">
                  <c:v>14.25</c:v>
                </c:pt>
                <c:pt idx="2">
                  <c:v>15.199999999999989</c:v>
                </c:pt>
                <c:pt idx="3">
                  <c:v>15.23333333333332</c:v>
                </c:pt>
                <c:pt idx="4">
                  <c:v>15.26666666666668</c:v>
                </c:pt>
                <c:pt idx="5">
                  <c:v>17.208333333333343</c:v>
                </c:pt>
                <c:pt idx="6">
                  <c:v>17.416666666666657</c:v>
                </c:pt>
                <c:pt idx="7">
                  <c:v>19.208333333333314</c:v>
                </c:pt>
                <c:pt idx="8">
                  <c:v>20.35833333333332</c:v>
                </c:pt>
                <c:pt idx="9">
                  <c:v>20.441666666666663</c:v>
                </c:pt>
                <c:pt idx="10">
                  <c:v>21.449999999999989</c:v>
                </c:pt>
                <c:pt idx="11">
                  <c:v>21.625</c:v>
                </c:pt>
                <c:pt idx="12">
                  <c:v>22.033333333333331</c:v>
                </c:pt>
                <c:pt idx="13">
                  <c:v>23.916666666666657</c:v>
                </c:pt>
                <c:pt idx="14">
                  <c:v>24.64166666666668</c:v>
                </c:pt>
              </c:numCache>
            </c:numRef>
          </c:xVal>
          <c:yVal>
            <c:numRef>
              <c:f>List1!$I$11:$I$25</c:f>
              <c:numCache>
                <c:formatCode>General</c:formatCode>
                <c:ptCount val="15"/>
                <c:pt idx="0">
                  <c:v>-0.94314057174057098</c:v>
                </c:pt>
                <c:pt idx="1">
                  <c:v>-0.87716543609644759</c:v>
                </c:pt>
                <c:pt idx="2">
                  <c:v>-0.25604568240026992</c:v>
                </c:pt>
                <c:pt idx="3">
                  <c:v>-0.23637623287675069</c:v>
                </c:pt>
                <c:pt idx="4">
                  <c:v>-0.21685399989007692</c:v>
                </c:pt>
                <c:pt idx="5">
                  <c:v>0.65539719387589912</c:v>
                </c:pt>
                <c:pt idx="6">
                  <c:v>0.71666603260462125</c:v>
                </c:pt>
                <c:pt idx="7">
                  <c:v>0.96523299901468818</c:v>
                </c:pt>
                <c:pt idx="8">
                  <c:v>0.84718294939978023</c:v>
                </c:pt>
                <c:pt idx="9">
                  <c:v>0.82976461315672623</c:v>
                </c:pt>
                <c:pt idx="10">
                  <c:v>0.52067507703679894</c:v>
                </c:pt>
                <c:pt idx="11">
                  <c:v>0.44817408082769816</c:v>
                </c:pt>
                <c:pt idx="12">
                  <c:v>0.25679688788022759</c:v>
                </c:pt>
                <c:pt idx="13">
                  <c:v>-1.0427360520717457</c:v>
                </c:pt>
                <c:pt idx="14">
                  <c:v>-1.733342473604921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9-4689-88F7-36584F61E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95055"/>
        <c:axId val="733297935"/>
      </c:scatterChart>
      <c:valAx>
        <c:axId val="733295055"/>
        <c:scaling>
          <c:orientation val="minMax"/>
          <c:max val="25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33297935"/>
        <c:crosses val="autoZero"/>
        <c:crossBetween val="midCat"/>
      </c:valAx>
      <c:valAx>
        <c:axId val="7332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3329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99060</xdr:colOff>
      <xdr:row>1</xdr:row>
      <xdr:rowOff>110490</xdr:rowOff>
    </xdr:from>
    <xdr:to>
      <xdr:col>16</xdr:col>
      <xdr:colOff>403860</xdr:colOff>
      <xdr:row>16</xdr:row>
      <xdr:rowOff>110490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F7CAEE38-4E3A-9709-0899-5E8782686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243840</xdr:colOff>
      <xdr:row>21</xdr:row>
      <xdr:rowOff>80010</xdr:rowOff>
    </xdr:from>
    <xdr:to>
      <xdr:col>16</xdr:col>
      <xdr:colOff>548640</xdr:colOff>
      <xdr:row>36</xdr:row>
      <xdr:rowOff>80010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E8710554-0AC2-9FAD-21C1-B18C8814F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8CB1-F5AA-4DD4-8577-38A8320338C6}">
  <dimension ref="B2:L38"/>
  <sheetViews>
    <sheetView tabSelected="1" topLeftCell="A7" zoomScaleNormal="100" workbookViewId="0">
      <selection activeCell="M19" sqref="M19"/>
    </sheetView>
  </sheetViews>
  <sheetFormatPr defaultRowHeight="14.4" x14ac:dyDescent="0.3"/>
  <cols>
    <col min="1" max="1" width="3.33203125" customWidth="1"/>
    <col min="4" max="4" width="15.44140625" bestFit="1" customWidth="1"/>
    <col min="6" max="6" width="12" bestFit="1" customWidth="1"/>
    <col min="7" max="7" width="11" bestFit="1" customWidth="1"/>
  </cols>
  <sheetData>
    <row r="2" spans="2:9" x14ac:dyDescent="0.3">
      <c r="B2" t="s">
        <v>0</v>
      </c>
    </row>
    <row r="3" spans="2:9" x14ac:dyDescent="0.3">
      <c r="B3" t="s">
        <v>1</v>
      </c>
      <c r="C3" t="s">
        <v>6</v>
      </c>
      <c r="D3" t="s">
        <v>7</v>
      </c>
      <c r="E3" t="s">
        <v>5</v>
      </c>
      <c r="F3" t="s">
        <v>4</v>
      </c>
      <c r="G3" t="s">
        <v>3</v>
      </c>
      <c r="H3" t="s">
        <v>8</v>
      </c>
    </row>
    <row r="4" spans="2:9" x14ac:dyDescent="0.3">
      <c r="B4">
        <v>1</v>
      </c>
      <c r="C4">
        <v>589</v>
      </c>
      <c r="D4">
        <f>21+47/60</f>
        <v>21.783333333333335</v>
      </c>
      <c r="E4">
        <f>340+7/60</f>
        <v>340.11666666666667</v>
      </c>
      <c r="F4">
        <f>(D4-E4+360)/2</f>
        <v>20.833333333333343</v>
      </c>
      <c r="G4">
        <f>B4*C4/SIN(F4/180*3.14159265)</f>
        <v>1656.1190467790734</v>
      </c>
      <c r="H4">
        <f>1/G4*1000000</f>
        <v>603.82132670043507</v>
      </c>
    </row>
    <row r="5" spans="2:9" x14ac:dyDescent="0.3">
      <c r="B5">
        <v>1</v>
      </c>
      <c r="C5">
        <v>589.6</v>
      </c>
      <c r="D5">
        <f>21+51/60</f>
        <v>21.85</v>
      </c>
      <c r="E5">
        <f>340+3/60</f>
        <v>340.05</v>
      </c>
      <c r="F5">
        <f t="shared" ref="F5:F7" si="0">(D5-E5+360)/2</f>
        <v>20.900000000000006</v>
      </c>
      <c r="G5">
        <f t="shared" ref="G5:G7" si="1">B5*C5/SIN(F5/180*3.14159265)</f>
        <v>1652.7535663934261</v>
      </c>
      <c r="H5">
        <f t="shared" ref="H5:H8" si="2">1/G5*1000000</f>
        <v>605.05088013947579</v>
      </c>
    </row>
    <row r="6" spans="2:9" x14ac:dyDescent="0.3">
      <c r="B6">
        <v>2</v>
      </c>
      <c r="C6">
        <v>589</v>
      </c>
      <c r="D6">
        <f>46+48/60</f>
        <v>46.8</v>
      </c>
      <c r="E6">
        <f>316+10/60</f>
        <v>316.16666666666669</v>
      </c>
      <c r="F6">
        <f t="shared" si="0"/>
        <v>45.316666666666663</v>
      </c>
      <c r="G6">
        <f t="shared" si="1"/>
        <v>1656.8119352412609</v>
      </c>
      <c r="H6">
        <f t="shared" si="2"/>
        <v>603.5688050825047</v>
      </c>
    </row>
    <row r="7" spans="2:9" x14ac:dyDescent="0.3">
      <c r="B7">
        <v>2</v>
      </c>
      <c r="C7">
        <v>589.6</v>
      </c>
      <c r="D7">
        <f>46+52/60</f>
        <v>46.866666666666667</v>
      </c>
      <c r="E7">
        <f>316+3/60</f>
        <v>316.05</v>
      </c>
      <c r="F7">
        <f t="shared" si="0"/>
        <v>45.408333333333331</v>
      </c>
      <c r="G7">
        <f t="shared" si="1"/>
        <v>1655.8817122802602</v>
      </c>
      <c r="H7">
        <f t="shared" si="2"/>
        <v>603.90787130738522</v>
      </c>
    </row>
    <row r="8" spans="2:9" x14ac:dyDescent="0.3">
      <c r="G8">
        <f>AVERAGE(G4:G7)</f>
        <v>1655.3915651735053</v>
      </c>
      <c r="H8">
        <f t="shared" si="2"/>
        <v>604.08668319823641</v>
      </c>
    </row>
    <row r="9" spans="2:9" x14ac:dyDescent="0.3">
      <c r="B9" t="s">
        <v>9</v>
      </c>
      <c r="C9" t="s">
        <v>10</v>
      </c>
      <c r="D9" t="s">
        <v>25</v>
      </c>
    </row>
    <row r="10" spans="2:9" x14ac:dyDescent="0.3">
      <c r="B10" t="s">
        <v>11</v>
      </c>
      <c r="C10" t="s">
        <v>7</v>
      </c>
      <c r="D10" t="s">
        <v>5</v>
      </c>
      <c r="E10" t="s">
        <v>4</v>
      </c>
      <c r="F10" t="s">
        <v>6</v>
      </c>
      <c r="G10" t="s">
        <v>24</v>
      </c>
      <c r="H10" t="s">
        <v>28</v>
      </c>
      <c r="I10" t="s">
        <v>29</v>
      </c>
    </row>
    <row r="11" spans="2:9" x14ac:dyDescent="0.3">
      <c r="B11" t="s">
        <v>17</v>
      </c>
      <c r="C11">
        <f>14+53/60</f>
        <v>14.883333333333333</v>
      </c>
      <c r="D11">
        <f>346+34/60</f>
        <v>346.56666666666666</v>
      </c>
      <c r="E11">
        <f>(C11-D11+360)/2</f>
        <v>14.158333333333331</v>
      </c>
      <c r="F11">
        <f>$G$8*SIN(E11/180*3.14159265)</f>
        <v>404.91261776159268</v>
      </c>
      <c r="G11">
        <v>404.7</v>
      </c>
      <c r="H11">
        <f>$L$18*E11+$L$19</f>
        <v>405.85575833333326</v>
      </c>
      <c r="I11">
        <f>F11-H11</f>
        <v>-0.94314057174057098</v>
      </c>
    </row>
    <row r="12" spans="2:9" x14ac:dyDescent="0.3">
      <c r="B12" t="s">
        <v>17</v>
      </c>
      <c r="C12">
        <f>14+56/60</f>
        <v>14.933333333333334</v>
      </c>
      <c r="D12">
        <f>346+26/60</f>
        <v>346.43333333333334</v>
      </c>
      <c r="E12">
        <f t="shared" ref="E12:E24" si="3">(C12-D12+360)/2</f>
        <v>14.25</v>
      </c>
      <c r="F12">
        <f t="shared" ref="F12:F24" si="4">$G$8*SIN(E12/180*3.14159265)</f>
        <v>407.48008456390357</v>
      </c>
      <c r="G12">
        <v>407.8</v>
      </c>
      <c r="H12">
        <f>$L$18*E12+$L$19</f>
        <v>408.35725000000002</v>
      </c>
      <c r="I12">
        <f t="shared" ref="I12:I25" si="5">F12-H12</f>
        <v>-0.87716543609644759</v>
      </c>
    </row>
    <row r="13" spans="2:9" x14ac:dyDescent="0.3">
      <c r="B13" t="s">
        <v>16</v>
      </c>
      <c r="C13">
        <f>15+56/60</f>
        <v>15.933333333333334</v>
      </c>
      <c r="D13">
        <f>345+32/60</f>
        <v>345.53333333333336</v>
      </c>
      <c r="E13">
        <f t="shared" si="3"/>
        <v>15.199999999999989</v>
      </c>
      <c r="F13">
        <f t="shared" si="4"/>
        <v>434.02575431759942</v>
      </c>
      <c r="G13">
        <v>433.9</v>
      </c>
      <c r="H13">
        <f>$L$18*E13+$L$19</f>
        <v>434.28179999999969</v>
      </c>
      <c r="I13">
        <f t="shared" si="5"/>
        <v>-0.25604568240026992</v>
      </c>
    </row>
    <row r="14" spans="2:9" x14ac:dyDescent="0.3">
      <c r="B14" t="s">
        <v>16</v>
      </c>
      <c r="C14">
        <f>15+57/60</f>
        <v>15.95</v>
      </c>
      <c r="D14">
        <f>345+29/60</f>
        <v>345.48333333333335</v>
      </c>
      <c r="E14">
        <f t="shared" si="3"/>
        <v>15.23333333333332</v>
      </c>
      <c r="F14">
        <f t="shared" si="4"/>
        <v>434.9550571004562</v>
      </c>
      <c r="G14">
        <v>434.8</v>
      </c>
      <c r="H14">
        <f>$L$18*E14+$L$19</f>
        <v>435.19143333333295</v>
      </c>
      <c r="I14">
        <f t="shared" si="5"/>
        <v>-0.23637623287675069</v>
      </c>
    </row>
    <row r="15" spans="2:9" x14ac:dyDescent="0.3">
      <c r="B15" t="s">
        <v>16</v>
      </c>
      <c r="C15">
        <f>15+59/60</f>
        <v>15.983333333333333</v>
      </c>
      <c r="D15">
        <f>345+27/60</f>
        <v>345.45</v>
      </c>
      <c r="E15">
        <f t="shared" si="3"/>
        <v>15.26666666666668</v>
      </c>
      <c r="F15">
        <f t="shared" si="4"/>
        <v>435.88421266677693</v>
      </c>
      <c r="G15">
        <v>435.8</v>
      </c>
      <c r="H15">
        <f>$L$18*E15+$L$19</f>
        <v>436.10106666666701</v>
      </c>
      <c r="I15">
        <f t="shared" si="5"/>
        <v>-0.21685399989007692</v>
      </c>
    </row>
    <row r="16" spans="2:9" x14ac:dyDescent="0.3">
      <c r="B16" t="s">
        <v>15</v>
      </c>
      <c r="C16">
        <f>17+59/60</f>
        <v>17.983333333333334</v>
      </c>
      <c r="D16">
        <f>343+34/60</f>
        <v>343.56666666666666</v>
      </c>
      <c r="E16">
        <f t="shared" si="3"/>
        <v>17.208333333333343</v>
      </c>
      <c r="F16">
        <f t="shared" si="4"/>
        <v>489.74260552720949</v>
      </c>
      <c r="G16">
        <v>491.6</v>
      </c>
      <c r="H16">
        <f>$L$18*E16+$L$19</f>
        <v>489.08720833333359</v>
      </c>
      <c r="I16">
        <f t="shared" si="5"/>
        <v>0.65539719387589912</v>
      </c>
    </row>
    <row r="17" spans="2:12" x14ac:dyDescent="0.3">
      <c r="B17" t="s">
        <v>15</v>
      </c>
      <c r="C17">
        <f>18+11/60</f>
        <v>18.183333333333334</v>
      </c>
      <c r="D17">
        <f>343+21/60</f>
        <v>343.35</v>
      </c>
      <c r="E17">
        <f t="shared" si="3"/>
        <v>17.416666666666657</v>
      </c>
      <c r="F17">
        <f t="shared" si="4"/>
        <v>495.48908269927102</v>
      </c>
      <c r="H17">
        <f>$L$18*E17+$L$19</f>
        <v>494.7724166666664</v>
      </c>
      <c r="I17">
        <f t="shared" si="5"/>
        <v>0.71666603260462125</v>
      </c>
    </row>
    <row r="18" spans="2:12" x14ac:dyDescent="0.3">
      <c r="B18" t="s">
        <v>14</v>
      </c>
      <c r="C18">
        <f>19+58/60</f>
        <v>19.966666666666665</v>
      </c>
      <c r="D18">
        <f>341+33/60</f>
        <v>341.55</v>
      </c>
      <c r="E18">
        <f t="shared" si="3"/>
        <v>19.208333333333314</v>
      </c>
      <c r="F18">
        <f>$G$8*SIN(E18/180*3.14159265)</f>
        <v>544.63044133234757</v>
      </c>
      <c r="G18">
        <v>546.1</v>
      </c>
      <c r="H18">
        <f>$L$18*E18+$L$19</f>
        <v>543.66520833333288</v>
      </c>
      <c r="I18">
        <f t="shared" si="5"/>
        <v>0.96523299901468818</v>
      </c>
      <c r="K18" t="s">
        <v>2</v>
      </c>
      <c r="L18">
        <v>27.289000000000001</v>
      </c>
    </row>
    <row r="19" spans="2:12" x14ac:dyDescent="0.3">
      <c r="B19" t="s">
        <v>13</v>
      </c>
      <c r="C19">
        <f>21+5/60</f>
        <v>21.083333333333332</v>
      </c>
      <c r="D19">
        <f>340+22/60</f>
        <v>340.36666666666667</v>
      </c>
      <c r="E19">
        <f t="shared" si="3"/>
        <v>20.35833333333332</v>
      </c>
      <c r="F19">
        <f>$G$8*SIN(E19/180*3.14159265)</f>
        <v>575.89474128273287</v>
      </c>
      <c r="G19">
        <v>577</v>
      </c>
      <c r="H19">
        <f>$L$18*E19+$L$19</f>
        <v>575.04755833333309</v>
      </c>
      <c r="I19">
        <f t="shared" si="5"/>
        <v>0.84718294939978023</v>
      </c>
      <c r="K19" t="s">
        <v>26</v>
      </c>
      <c r="L19">
        <v>19.489000000000001</v>
      </c>
    </row>
    <row r="20" spans="2:12" x14ac:dyDescent="0.3">
      <c r="B20" t="s">
        <v>13</v>
      </c>
      <c r="C20">
        <f>21+11/60</f>
        <v>21.183333333333334</v>
      </c>
      <c r="D20">
        <f>340+18/60</f>
        <v>340.3</v>
      </c>
      <c r="E20">
        <f t="shared" si="3"/>
        <v>20.441666666666663</v>
      </c>
      <c r="F20">
        <f>$G$8*SIN(E20/180*3.14159265)</f>
        <v>578.15140627982339</v>
      </c>
      <c r="G20">
        <v>579.1</v>
      </c>
      <c r="H20">
        <f>$L$18*E20+$L$19</f>
        <v>577.32164166666666</v>
      </c>
      <c r="I20">
        <f t="shared" si="5"/>
        <v>0.82976461315672623</v>
      </c>
      <c r="K20" t="s">
        <v>27</v>
      </c>
    </row>
    <row r="21" spans="2:12" x14ac:dyDescent="0.3">
      <c r="B21" t="s">
        <v>12</v>
      </c>
      <c r="C21">
        <f>22+13/60</f>
        <v>22.216666666666665</v>
      </c>
      <c r="D21">
        <f>339+19/60</f>
        <v>339.31666666666666</v>
      </c>
      <c r="E21">
        <f t="shared" si="3"/>
        <v>21.449999999999989</v>
      </c>
      <c r="F21">
        <f>$G$8*SIN(E21/180*3.14159265)</f>
        <v>605.35872507703652</v>
      </c>
      <c r="G21">
        <v>607.29999999999995</v>
      </c>
      <c r="H21">
        <f>$L$18*E21+$L$19</f>
        <v>604.83804999999973</v>
      </c>
      <c r="I21">
        <f t="shared" si="5"/>
        <v>0.52067507703679894</v>
      </c>
    </row>
    <row r="22" spans="2:12" x14ac:dyDescent="0.3">
      <c r="B22" t="s">
        <v>12</v>
      </c>
      <c r="C22">
        <f>22+25/60</f>
        <v>22.416666666666668</v>
      </c>
      <c r="D22">
        <f>339+10/60</f>
        <v>339.16666666666669</v>
      </c>
      <c r="E22">
        <f t="shared" si="3"/>
        <v>21.625</v>
      </c>
      <c r="F22">
        <f>$G$8*SIN(E22/180*3.14159265)</f>
        <v>610.06179908082777</v>
      </c>
      <c r="G22">
        <v>612.29999999999995</v>
      </c>
      <c r="H22">
        <f>$L$18*E22+$L$19</f>
        <v>609.61362500000007</v>
      </c>
      <c r="I22">
        <f t="shared" si="5"/>
        <v>0.44817408082769816</v>
      </c>
    </row>
    <row r="23" spans="2:12" x14ac:dyDescent="0.3">
      <c r="B23" t="s">
        <v>12</v>
      </c>
      <c r="C23">
        <f>22+49/60</f>
        <v>22.816666666666666</v>
      </c>
      <c r="D23">
        <f>338+45/60</f>
        <v>338.75</v>
      </c>
      <c r="E23">
        <f t="shared" si="3"/>
        <v>22.033333333333331</v>
      </c>
      <c r="F23">
        <f>$G$8*SIN(E23/180*3.14159265)</f>
        <v>621.01343022121353</v>
      </c>
      <c r="G23">
        <v>623.4</v>
      </c>
      <c r="H23">
        <f>$L$18*E23+$L$19</f>
        <v>620.7566333333333</v>
      </c>
      <c r="I23">
        <f t="shared" si="5"/>
        <v>0.25679688788022759</v>
      </c>
    </row>
    <row r="24" spans="2:12" x14ac:dyDescent="0.3">
      <c r="B24" t="s">
        <v>12</v>
      </c>
      <c r="C24">
        <f>24+39/60</f>
        <v>24.65</v>
      </c>
      <c r="D24">
        <f>336+49/60</f>
        <v>336.81666666666666</v>
      </c>
      <c r="E24">
        <f t="shared" si="3"/>
        <v>23.916666666666657</v>
      </c>
      <c r="F24">
        <f>$G$8*SIN(E24/180*3.14159265)</f>
        <v>671.10818061459474</v>
      </c>
      <c r="G24">
        <v>671.6</v>
      </c>
      <c r="H24">
        <f>$L$18*E24+$L$19</f>
        <v>672.15091666666649</v>
      </c>
      <c r="I24">
        <f t="shared" si="5"/>
        <v>-1.0427360520717457</v>
      </c>
    </row>
    <row r="25" spans="2:12" x14ac:dyDescent="0.3">
      <c r="B25" t="s">
        <v>12</v>
      </c>
      <c r="C25">
        <f>25+29/60</f>
        <v>25.483333333333334</v>
      </c>
      <c r="D25">
        <f>336+12/60</f>
        <v>336.2</v>
      </c>
      <c r="E25">
        <f>(C25-D25+360)/2</f>
        <v>24.64166666666668</v>
      </c>
      <c r="F25">
        <f>$G$8*SIN(E25/180*3.14159265)</f>
        <v>690.20209919306217</v>
      </c>
      <c r="G25">
        <v>690.7</v>
      </c>
      <c r="H25">
        <f>$L$18*E25+$L$19</f>
        <v>691.93544166666709</v>
      </c>
      <c r="I25">
        <f t="shared" si="5"/>
        <v>-1.733342473604921</v>
      </c>
    </row>
    <row r="29" spans="2:12" x14ac:dyDescent="0.3">
      <c r="B29" s="1" t="s">
        <v>18</v>
      </c>
    </row>
    <row r="30" spans="2:12" x14ac:dyDescent="0.3">
      <c r="B30" s="1">
        <f>G8</f>
        <v>1655.3915651735053</v>
      </c>
    </row>
    <row r="32" spans="2:12" x14ac:dyDescent="0.3">
      <c r="B32" s="1" t="s">
        <v>19</v>
      </c>
      <c r="D32" t="s">
        <v>20</v>
      </c>
      <c r="E32" t="s">
        <v>23</v>
      </c>
    </row>
    <row r="33" spans="2:6" x14ac:dyDescent="0.3">
      <c r="B33" t="s">
        <v>21</v>
      </c>
      <c r="C33" s="1">
        <f>C4/0.6</f>
        <v>981.66666666666674</v>
      </c>
      <c r="E33">
        <f>1*0.82*18*1000000/B30</f>
        <v>8916.3194440059688</v>
      </c>
    </row>
    <row r="34" spans="2:6" x14ac:dyDescent="0.3">
      <c r="B34" s="2" t="s">
        <v>22</v>
      </c>
      <c r="C34" s="1">
        <f>C4/0.6</f>
        <v>981.66666666666674</v>
      </c>
      <c r="E34">
        <f>2*0.82*18*1000000/B30</f>
        <v>17832.638888011938</v>
      </c>
    </row>
    <row r="36" spans="2:6" x14ac:dyDescent="0.3">
      <c r="B36" s="1" t="s">
        <v>30</v>
      </c>
      <c r="D36" t="s">
        <v>23</v>
      </c>
      <c r="E36" t="s">
        <v>0</v>
      </c>
      <c r="F36" t="s">
        <v>9</v>
      </c>
    </row>
    <row r="37" spans="2:6" x14ac:dyDescent="0.3">
      <c r="B37" t="s">
        <v>21</v>
      </c>
      <c r="D37">
        <f>1/(B30*COS(20.9/180*3.14159265))*1000*1000</f>
        <v>646.63218782069146</v>
      </c>
      <c r="E37">
        <f>(F5-F4)/180*3.14159265/(C5-C4)*1000*1000</f>
        <v>1939.2547222220385</v>
      </c>
      <c r="F37">
        <f>(E20-E19)/180*3.14159265/(F20-F19)*1000000</f>
        <v>644.50906250684773</v>
      </c>
    </row>
    <row r="38" spans="2:6" x14ac:dyDescent="0.3">
      <c r="B38" t="s">
        <v>22</v>
      </c>
      <c r="D38">
        <f>2/B30/COS(45.3/180*3.14159265)*1000*1000</f>
        <v>1717.6321636572875</v>
      </c>
      <c r="E38">
        <f>(F7-F6)/180*3.14159265/(C7-C6)*1000*1000</f>
        <v>2666.4752430555104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cp:lastPrinted>2026-02-17T10:25:18Z</cp:lastPrinted>
  <dcterms:created xsi:type="dcterms:W3CDTF">2026-02-17T07:14:15Z</dcterms:created>
  <dcterms:modified xsi:type="dcterms:W3CDTF">2026-02-17T10:27:37Z</dcterms:modified>
</cp:coreProperties>
</file>