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mec\david\school\praktika\uloha5\"/>
    </mc:Choice>
  </mc:AlternateContent>
  <xr:revisionPtr revIDLastSave="0" documentId="13_ncr:1_{B80A5805-4910-4444-BBAD-D4D9C8418233}" xr6:coauthVersionLast="47" xr6:coauthVersionMax="47" xr10:uidLastSave="{00000000-0000-0000-0000-000000000000}"/>
  <bookViews>
    <workbookView xWindow="-108" yWindow="-108" windowWidth="23256" windowHeight="12456" xr2:uid="{E8723A23-BA11-4575-BB1C-5F3360D4DC3F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" i="1" l="1"/>
  <c r="M20" i="1"/>
  <c r="M21" i="1"/>
  <c r="M22" i="1"/>
  <c r="M23" i="1"/>
  <c r="M24" i="1"/>
  <c r="M25" i="1"/>
  <c r="K21" i="1"/>
  <c r="K22" i="1"/>
  <c r="K23" i="1"/>
  <c r="K24" i="1"/>
  <c r="K25" i="1"/>
  <c r="M19" i="1"/>
  <c r="M18" i="1"/>
  <c r="K20" i="1"/>
  <c r="K19" i="1"/>
  <c r="K18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M3" i="1"/>
  <c r="K3" i="1"/>
  <c r="F31" i="1"/>
  <c r="D31" i="1"/>
  <c r="B31" i="1"/>
  <c r="F30" i="1"/>
  <c r="D30" i="1"/>
  <c r="B30" i="1"/>
  <c r="F29" i="1"/>
  <c r="D29" i="1"/>
  <c r="B29" i="1"/>
  <c r="F28" i="1"/>
  <c r="D28" i="1"/>
  <c r="B28" i="1"/>
  <c r="F21" i="1"/>
  <c r="F22" i="1"/>
  <c r="F23" i="1"/>
  <c r="F24" i="1"/>
  <c r="F25" i="1"/>
  <c r="F26" i="1"/>
  <c r="F27" i="1"/>
  <c r="D23" i="1"/>
  <c r="F20" i="1"/>
  <c r="F13" i="1"/>
  <c r="D13" i="1"/>
  <c r="D9" i="1"/>
  <c r="D10" i="1"/>
  <c r="D11" i="1"/>
  <c r="D12" i="1"/>
  <c r="D14" i="1"/>
  <c r="D15" i="1"/>
  <c r="D16" i="1"/>
  <c r="D17" i="1"/>
  <c r="D18" i="1"/>
  <c r="D19" i="1"/>
  <c r="D20" i="1"/>
  <c r="D21" i="1"/>
  <c r="D22" i="1"/>
  <c r="D24" i="1"/>
  <c r="D25" i="1"/>
  <c r="D26" i="1"/>
  <c r="D27" i="1"/>
  <c r="D8" i="1"/>
  <c r="F9" i="1"/>
  <c r="F10" i="1"/>
  <c r="F11" i="1"/>
  <c r="F12" i="1"/>
  <c r="F14" i="1"/>
  <c r="F15" i="1"/>
  <c r="F16" i="1"/>
  <c r="F17" i="1"/>
  <c r="F18" i="1"/>
  <c r="F19" i="1"/>
  <c r="F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8" i="1"/>
  <c r="B5" i="1"/>
  <c r="A5" i="1"/>
  <c r="D4" i="1"/>
</calcChain>
</file>

<file path=xl/sharedStrings.xml><?xml version="1.0" encoding="utf-8"?>
<sst xmlns="http://schemas.openxmlformats.org/spreadsheetml/2006/main" count="28" uniqueCount="23">
  <si>
    <t>osciloskop</t>
  </si>
  <si>
    <t>dU</t>
  </si>
  <si>
    <t>voltmetr</t>
  </si>
  <si>
    <t>Uef</t>
  </si>
  <si>
    <t>dUef</t>
  </si>
  <si>
    <t>U0  (V)</t>
  </si>
  <si>
    <t>I (mA)</t>
  </si>
  <si>
    <t>dI</t>
  </si>
  <si>
    <t>U (V)</t>
  </si>
  <si>
    <t>C (micro F)</t>
  </si>
  <si>
    <t>dC</t>
  </si>
  <si>
    <t>dRz</t>
  </si>
  <si>
    <t>Iss (mA)</t>
  </si>
  <si>
    <t>dIss</t>
  </si>
  <si>
    <t>spickova hodnota U (V)</t>
  </si>
  <si>
    <t>+-0,4</t>
  </si>
  <si>
    <t>Rz (kohm)</t>
  </si>
  <si>
    <t>vakuova dioda</t>
  </si>
  <si>
    <t>proud při nulovém napětí</t>
  </si>
  <si>
    <t>U (mV)</t>
  </si>
  <si>
    <t>napětí při proudu 20 mA</t>
  </si>
  <si>
    <t>+-0,2</t>
  </si>
  <si>
    <t>+-5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</si>
</sst>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List1!$E$7</c:f>
              <c:strCache>
                <c:ptCount val="1"/>
                <c:pt idx="0">
                  <c:v>U (V)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List1!$A$8:$A$31</c:f>
              <c:numCache>
                <c:formatCode>General</c:formatCode>
                <c:ptCount val="24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1.3</c:v>
                </c:pt>
                <c:pt idx="22">
                  <c:v>1.6</c:v>
                </c:pt>
                <c:pt idx="23">
                  <c:v>2.5</c:v>
                </c:pt>
              </c:numCache>
            </c:numRef>
          </c:xVal>
          <c:yVal>
            <c:numRef>
              <c:f>List1!$E$8:$E$31</c:f>
              <c:numCache>
                <c:formatCode>General</c:formatCode>
                <c:ptCount val="24"/>
                <c:pt idx="0">
                  <c:v>2.7530000000000001</c:v>
                </c:pt>
                <c:pt idx="1">
                  <c:v>2.84</c:v>
                </c:pt>
                <c:pt idx="2">
                  <c:v>3.0470000000000002</c:v>
                </c:pt>
                <c:pt idx="3">
                  <c:v>3.3730000000000002</c:v>
                </c:pt>
                <c:pt idx="4">
                  <c:v>3.6949999999999998</c:v>
                </c:pt>
                <c:pt idx="5">
                  <c:v>3.9830000000000001</c:v>
                </c:pt>
                <c:pt idx="6">
                  <c:v>4.2480000000000002</c:v>
                </c:pt>
                <c:pt idx="7">
                  <c:v>4.5179999999999998</c:v>
                </c:pt>
                <c:pt idx="8">
                  <c:v>4.7649999999999997</c:v>
                </c:pt>
                <c:pt idx="9">
                  <c:v>4.9740000000000002</c:v>
                </c:pt>
                <c:pt idx="10">
                  <c:v>5.1609999999999996</c:v>
                </c:pt>
                <c:pt idx="11">
                  <c:v>6.335</c:v>
                </c:pt>
                <c:pt idx="12">
                  <c:v>6.89</c:v>
                </c:pt>
                <c:pt idx="13">
                  <c:v>7.23</c:v>
                </c:pt>
                <c:pt idx="14">
                  <c:v>7.45</c:v>
                </c:pt>
                <c:pt idx="15">
                  <c:v>7.61</c:v>
                </c:pt>
                <c:pt idx="16">
                  <c:v>7.73</c:v>
                </c:pt>
                <c:pt idx="17">
                  <c:v>7.83</c:v>
                </c:pt>
                <c:pt idx="18">
                  <c:v>7.88</c:v>
                </c:pt>
                <c:pt idx="19">
                  <c:v>7.95</c:v>
                </c:pt>
                <c:pt idx="20">
                  <c:v>8</c:v>
                </c:pt>
                <c:pt idx="21">
                  <c:v>5.62</c:v>
                </c:pt>
                <c:pt idx="22">
                  <c:v>5.96</c:v>
                </c:pt>
                <c:pt idx="23">
                  <c:v>6.63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F2-420E-8A6D-C2A859AA4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794304"/>
        <c:axId val="582792864"/>
      </c:scatterChart>
      <c:valAx>
        <c:axId val="582794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</a:t>
                </a:r>
                <a:r>
                  <a:rPr lang="cs-CZ" baseline="0"/>
                  <a:t> (10^-6 F)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82792864"/>
        <c:crosses val="autoZero"/>
        <c:crossBetween val="midCat"/>
      </c:valAx>
      <c:valAx>
        <c:axId val="58279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U</a:t>
                </a:r>
                <a:r>
                  <a:rPr lang="cs-CZ" baseline="0"/>
                  <a:t>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82794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List1!$N$2</c:f>
              <c:strCache>
                <c:ptCount val="1"/>
                <c:pt idx="0">
                  <c:v>U (V)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List1!$L$3:$L$25</c:f>
              <c:numCache>
                <c:formatCode>General</c:formatCode>
                <c:ptCount val="23"/>
                <c:pt idx="0">
                  <c:v>0.67</c:v>
                </c:pt>
                <c:pt idx="1">
                  <c:v>0.62</c:v>
                </c:pt>
                <c:pt idx="2">
                  <c:v>0.57999999999999996</c:v>
                </c:pt>
                <c:pt idx="3">
                  <c:v>0.55000000000000004</c:v>
                </c:pt>
                <c:pt idx="4">
                  <c:v>0.51</c:v>
                </c:pt>
                <c:pt idx="5">
                  <c:v>0.49</c:v>
                </c:pt>
                <c:pt idx="6">
                  <c:v>0.46</c:v>
                </c:pt>
                <c:pt idx="7">
                  <c:v>0.43</c:v>
                </c:pt>
                <c:pt idx="8">
                  <c:v>0.41</c:v>
                </c:pt>
                <c:pt idx="9">
                  <c:v>0.38</c:v>
                </c:pt>
                <c:pt idx="10">
                  <c:v>0.35</c:v>
                </c:pt>
                <c:pt idx="11">
                  <c:v>0.32</c:v>
                </c:pt>
                <c:pt idx="12">
                  <c:v>0.3</c:v>
                </c:pt>
                <c:pt idx="13">
                  <c:v>0.28000000000000003</c:v>
                </c:pt>
                <c:pt idx="14">
                  <c:v>0.25</c:v>
                </c:pt>
                <c:pt idx="15">
                  <c:v>0.22</c:v>
                </c:pt>
                <c:pt idx="16">
                  <c:v>0.2</c:v>
                </c:pt>
                <c:pt idx="17">
                  <c:v>0.18</c:v>
                </c:pt>
                <c:pt idx="18">
                  <c:v>0.17</c:v>
                </c:pt>
                <c:pt idx="19">
                  <c:v>0.15</c:v>
                </c:pt>
                <c:pt idx="20">
                  <c:v>0.14000000000000001</c:v>
                </c:pt>
                <c:pt idx="21">
                  <c:v>0.12</c:v>
                </c:pt>
                <c:pt idx="22">
                  <c:v>0.09</c:v>
                </c:pt>
              </c:numCache>
            </c:numRef>
          </c:xVal>
          <c:yVal>
            <c:numRef>
              <c:f>List1!$N$3:$N$25</c:f>
              <c:numCache>
                <c:formatCode>General</c:formatCode>
                <c:ptCount val="23"/>
                <c:pt idx="0">
                  <c:v>1.32</c:v>
                </c:pt>
                <c:pt idx="1">
                  <c:v>1.22</c:v>
                </c:pt>
                <c:pt idx="2">
                  <c:v>1.1200000000000001</c:v>
                </c:pt>
                <c:pt idx="3">
                  <c:v>1.07</c:v>
                </c:pt>
                <c:pt idx="4">
                  <c:v>0.98</c:v>
                </c:pt>
                <c:pt idx="5">
                  <c:v>0.94</c:v>
                </c:pt>
                <c:pt idx="6">
                  <c:v>0.89</c:v>
                </c:pt>
                <c:pt idx="7">
                  <c:v>0.84</c:v>
                </c:pt>
                <c:pt idx="8">
                  <c:v>0.8</c:v>
                </c:pt>
                <c:pt idx="9">
                  <c:v>0.74</c:v>
                </c:pt>
                <c:pt idx="10">
                  <c:v>0.68</c:v>
                </c:pt>
                <c:pt idx="11">
                  <c:v>0.63</c:v>
                </c:pt>
                <c:pt idx="12">
                  <c:v>0.59</c:v>
                </c:pt>
                <c:pt idx="13">
                  <c:v>0.54</c:v>
                </c:pt>
                <c:pt idx="14">
                  <c:v>0.48</c:v>
                </c:pt>
                <c:pt idx="15">
                  <c:v>0.44</c:v>
                </c:pt>
                <c:pt idx="16">
                  <c:v>0.39</c:v>
                </c:pt>
                <c:pt idx="17">
                  <c:v>0.36</c:v>
                </c:pt>
                <c:pt idx="18">
                  <c:v>0.33</c:v>
                </c:pt>
                <c:pt idx="19">
                  <c:v>0.30499999999999999</c:v>
                </c:pt>
                <c:pt idx="20">
                  <c:v>0.27500000000000002</c:v>
                </c:pt>
                <c:pt idx="21">
                  <c:v>0.23499999999999999</c:v>
                </c:pt>
                <c:pt idx="22">
                  <c:v>0.152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D5-4A38-96DF-AD46B038D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495792"/>
        <c:axId val="439498192"/>
      </c:scatterChart>
      <c:valAx>
        <c:axId val="43949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39498192"/>
        <c:crosses val="autoZero"/>
        <c:crossBetween val="midCat"/>
      </c:valAx>
      <c:valAx>
        <c:axId val="43949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39495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31</xdr:row>
      <xdr:rowOff>129540</xdr:rowOff>
    </xdr:from>
    <xdr:to>
      <xdr:col>8</xdr:col>
      <xdr:colOff>15240</xdr:colOff>
      <xdr:row>46</xdr:row>
      <xdr:rowOff>99060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A3379F65-37B9-D1EE-DA06-B679B90AF4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274320</xdr:colOff>
      <xdr:row>25</xdr:row>
      <xdr:rowOff>148590</xdr:rowOff>
    </xdr:from>
    <xdr:to>
      <xdr:col>16</xdr:col>
      <xdr:colOff>579120</xdr:colOff>
      <xdr:row>40</xdr:row>
      <xdr:rowOff>148590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BB64C6E3-B7B4-C3A0-E9D7-A6DD97C8D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FE22-B979-4F3D-88EC-45E595029B66}">
  <dimension ref="A2:O47"/>
  <sheetViews>
    <sheetView tabSelected="1" topLeftCell="A25" zoomScaleNormal="100" workbookViewId="0">
      <selection activeCell="R44" sqref="R44"/>
    </sheetView>
  </sheetViews>
  <sheetFormatPr defaultRowHeight="14.4" x14ac:dyDescent="0.3"/>
  <sheetData>
    <row r="2" spans="1:15" x14ac:dyDescent="0.3">
      <c r="A2" t="s">
        <v>0</v>
      </c>
      <c r="C2" t="s">
        <v>2</v>
      </c>
      <c r="J2" t="s">
        <v>16</v>
      </c>
      <c r="K2" t="s">
        <v>11</v>
      </c>
      <c r="L2" t="s">
        <v>12</v>
      </c>
      <c r="M2" t="s">
        <v>13</v>
      </c>
      <c r="N2" s="1" t="s">
        <v>8</v>
      </c>
      <c r="O2" t="s">
        <v>1</v>
      </c>
    </row>
    <row r="3" spans="1:15" x14ac:dyDescent="0.3">
      <c r="A3" t="s">
        <v>5</v>
      </c>
      <c r="B3" t="s">
        <v>1</v>
      </c>
      <c r="C3" t="s">
        <v>3</v>
      </c>
      <c r="D3" t="s">
        <v>4</v>
      </c>
      <c r="F3" t="s">
        <v>14</v>
      </c>
      <c r="J3">
        <v>12</v>
      </c>
      <c r="K3">
        <f>0.01*J3</f>
        <v>0.12</v>
      </c>
      <c r="L3">
        <v>0.67</v>
      </c>
      <c r="M3">
        <f t="shared" ref="M3:M25" si="0">0.01*L3+3*0.01</f>
        <v>3.6699999999999997E-2</v>
      </c>
      <c r="N3">
        <v>1.32</v>
      </c>
      <c r="O3">
        <v>0.04</v>
      </c>
    </row>
    <row r="4" spans="1:15" x14ac:dyDescent="0.3">
      <c r="A4">
        <v>10</v>
      </c>
      <c r="B4">
        <v>1</v>
      </c>
      <c r="C4">
        <v>6.72</v>
      </c>
      <c r="D4">
        <f>0.01*C4+3*0.01</f>
        <v>9.7199999999999995E-2</v>
      </c>
      <c r="F4">
        <v>11</v>
      </c>
      <c r="G4" s="2" t="s">
        <v>15</v>
      </c>
      <c r="J4">
        <v>13</v>
      </c>
      <c r="K4">
        <f t="shared" ref="K4:K25" si="1">0.01*J4</f>
        <v>0.13</v>
      </c>
      <c r="L4">
        <v>0.62</v>
      </c>
      <c r="M4">
        <f t="shared" si="0"/>
        <v>3.6199999999999996E-2</v>
      </c>
      <c r="N4">
        <v>1.22</v>
      </c>
      <c r="O4">
        <v>0.04</v>
      </c>
    </row>
    <row r="5" spans="1:15" x14ac:dyDescent="0.3">
      <c r="A5">
        <f>A4/SQRT(2)</f>
        <v>7.0710678118654746</v>
      </c>
      <c r="B5">
        <f>B4/SQRT(2)</f>
        <v>0.70710678118654746</v>
      </c>
      <c r="J5">
        <v>14</v>
      </c>
      <c r="K5">
        <f t="shared" si="1"/>
        <v>0.14000000000000001</v>
      </c>
      <c r="L5">
        <v>0.57999999999999996</v>
      </c>
      <c r="M5">
        <f t="shared" si="0"/>
        <v>3.5799999999999998E-2</v>
      </c>
      <c r="N5">
        <v>1.1200000000000001</v>
      </c>
      <c r="O5">
        <v>0.04</v>
      </c>
    </row>
    <row r="6" spans="1:15" x14ac:dyDescent="0.3">
      <c r="J6">
        <v>15</v>
      </c>
      <c r="K6">
        <f t="shared" si="1"/>
        <v>0.15</v>
      </c>
      <c r="L6">
        <v>0.55000000000000004</v>
      </c>
      <c r="M6">
        <f t="shared" si="0"/>
        <v>3.5499999999999997E-2</v>
      </c>
      <c r="N6">
        <v>1.07</v>
      </c>
      <c r="O6">
        <v>0.04</v>
      </c>
    </row>
    <row r="7" spans="1:15" x14ac:dyDescent="0.3">
      <c r="A7" t="s">
        <v>9</v>
      </c>
      <c r="B7" t="s">
        <v>10</v>
      </c>
      <c r="C7" t="s">
        <v>6</v>
      </c>
      <c r="D7" t="s">
        <v>7</v>
      </c>
      <c r="E7" t="s">
        <v>8</v>
      </c>
      <c r="F7" t="s">
        <v>1</v>
      </c>
      <c r="J7">
        <v>16</v>
      </c>
      <c r="K7">
        <f t="shared" si="1"/>
        <v>0.16</v>
      </c>
      <c r="L7">
        <v>0.51</v>
      </c>
      <c r="M7">
        <f t="shared" si="0"/>
        <v>3.5099999999999999E-2</v>
      </c>
      <c r="N7">
        <v>0.98</v>
      </c>
      <c r="O7">
        <v>0.04</v>
      </c>
    </row>
    <row r="8" spans="1:15" x14ac:dyDescent="0.3">
      <c r="A8">
        <v>0</v>
      </c>
      <c r="B8">
        <f>0.01*A8</f>
        <v>0</v>
      </c>
      <c r="C8">
        <v>0.28000000000000003</v>
      </c>
      <c r="D8">
        <f>0.01*C8+3*0.01</f>
        <v>3.2799999999999996E-2</v>
      </c>
      <c r="E8">
        <v>2.7530000000000001</v>
      </c>
      <c r="F8">
        <f>0.0015*E8+2*0.001</f>
        <v>6.1295000000000004E-3</v>
      </c>
      <c r="J8">
        <v>17</v>
      </c>
      <c r="K8">
        <f t="shared" si="1"/>
        <v>0.17</v>
      </c>
      <c r="L8">
        <v>0.49</v>
      </c>
      <c r="M8">
        <f t="shared" si="0"/>
        <v>3.49E-2</v>
      </c>
      <c r="N8">
        <v>0.94</v>
      </c>
      <c r="O8">
        <v>0.04</v>
      </c>
    </row>
    <row r="9" spans="1:15" x14ac:dyDescent="0.3">
      <c r="A9">
        <v>0.1</v>
      </c>
      <c r="B9">
        <f t="shared" ref="B9:B31" si="2">0.01*A9</f>
        <v>1E-3</v>
      </c>
      <c r="C9">
        <v>0.28999999999999998</v>
      </c>
      <c r="D9">
        <f t="shared" ref="D9:D31" si="3">0.01*C9+3*0.01</f>
        <v>3.2899999999999999E-2</v>
      </c>
      <c r="E9">
        <v>2.84</v>
      </c>
      <c r="F9">
        <f t="shared" ref="F9:F27" si="4">0.0015*E9+2*0.001</f>
        <v>6.2599999999999999E-3</v>
      </c>
      <c r="J9">
        <v>18</v>
      </c>
      <c r="K9">
        <f t="shared" si="1"/>
        <v>0.18</v>
      </c>
      <c r="L9">
        <v>0.46</v>
      </c>
      <c r="M9">
        <f t="shared" si="0"/>
        <v>3.4599999999999999E-2</v>
      </c>
      <c r="N9">
        <v>0.89</v>
      </c>
      <c r="O9">
        <v>0.04</v>
      </c>
    </row>
    <row r="10" spans="1:15" x14ac:dyDescent="0.3">
      <c r="A10">
        <v>0.2</v>
      </c>
      <c r="B10">
        <f t="shared" si="2"/>
        <v>2E-3</v>
      </c>
      <c r="C10">
        <v>0.31</v>
      </c>
      <c r="D10">
        <f t="shared" si="3"/>
        <v>3.3099999999999997E-2</v>
      </c>
      <c r="E10">
        <v>3.0470000000000002</v>
      </c>
      <c r="F10">
        <f t="shared" si="4"/>
        <v>6.5705E-3</v>
      </c>
      <c r="J10">
        <v>19</v>
      </c>
      <c r="K10">
        <f t="shared" si="1"/>
        <v>0.19</v>
      </c>
      <c r="L10">
        <v>0.43</v>
      </c>
      <c r="M10">
        <f t="shared" si="0"/>
        <v>3.4299999999999997E-2</v>
      </c>
      <c r="N10">
        <v>0.84</v>
      </c>
      <c r="O10">
        <v>0.04</v>
      </c>
    </row>
    <row r="11" spans="1:15" x14ac:dyDescent="0.3">
      <c r="A11">
        <v>0.3</v>
      </c>
      <c r="B11">
        <f t="shared" si="2"/>
        <v>3.0000000000000001E-3</v>
      </c>
      <c r="C11">
        <v>0.34</v>
      </c>
      <c r="D11">
        <f t="shared" si="3"/>
        <v>3.3399999999999999E-2</v>
      </c>
      <c r="E11">
        <v>3.3730000000000002</v>
      </c>
      <c r="F11">
        <f t="shared" si="4"/>
        <v>7.0595000000000007E-3</v>
      </c>
      <c r="J11">
        <v>20</v>
      </c>
      <c r="K11">
        <f t="shared" si="1"/>
        <v>0.2</v>
      </c>
      <c r="L11">
        <v>0.41</v>
      </c>
      <c r="M11">
        <f t="shared" si="0"/>
        <v>3.4099999999999998E-2</v>
      </c>
      <c r="N11">
        <v>0.8</v>
      </c>
      <c r="O11">
        <v>0.04</v>
      </c>
    </row>
    <row r="12" spans="1:15" x14ac:dyDescent="0.3">
      <c r="A12">
        <v>0.4</v>
      </c>
      <c r="B12">
        <f t="shared" si="2"/>
        <v>4.0000000000000001E-3</v>
      </c>
      <c r="C12">
        <v>0.37</v>
      </c>
      <c r="D12">
        <f t="shared" si="3"/>
        <v>3.3700000000000001E-2</v>
      </c>
      <c r="E12">
        <v>3.6949999999999998</v>
      </c>
      <c r="F12">
        <f t="shared" si="4"/>
        <v>7.5424999999999997E-3</v>
      </c>
      <c r="J12">
        <v>22</v>
      </c>
      <c r="K12">
        <f t="shared" si="1"/>
        <v>0.22</v>
      </c>
      <c r="L12">
        <v>0.38</v>
      </c>
      <c r="M12">
        <f t="shared" si="0"/>
        <v>3.3799999999999997E-2</v>
      </c>
      <c r="N12">
        <v>0.74</v>
      </c>
      <c r="O12">
        <v>0.02</v>
      </c>
    </row>
    <row r="13" spans="1:15" x14ac:dyDescent="0.3">
      <c r="A13">
        <v>0.5</v>
      </c>
      <c r="B13">
        <f t="shared" si="2"/>
        <v>5.0000000000000001E-3</v>
      </c>
      <c r="C13">
        <v>0.4</v>
      </c>
      <c r="D13">
        <f t="shared" si="3"/>
        <v>3.4000000000000002E-2</v>
      </c>
      <c r="E13">
        <v>3.9830000000000001</v>
      </c>
      <c r="F13">
        <f>0.0015*E13+2*0.001</f>
        <v>7.9745000000000007E-3</v>
      </c>
      <c r="J13">
        <v>24</v>
      </c>
      <c r="K13">
        <f t="shared" si="1"/>
        <v>0.24</v>
      </c>
      <c r="L13">
        <v>0.35</v>
      </c>
      <c r="M13">
        <f t="shared" si="0"/>
        <v>3.3500000000000002E-2</v>
      </c>
      <c r="N13">
        <v>0.68</v>
      </c>
      <c r="O13">
        <v>0.02</v>
      </c>
    </row>
    <row r="14" spans="1:15" x14ac:dyDescent="0.3">
      <c r="A14">
        <v>0.6</v>
      </c>
      <c r="B14">
        <f t="shared" si="2"/>
        <v>6.0000000000000001E-3</v>
      </c>
      <c r="C14">
        <v>0.43</v>
      </c>
      <c r="D14">
        <f t="shared" si="3"/>
        <v>3.4299999999999997E-2</v>
      </c>
      <c r="E14">
        <v>4.2480000000000002</v>
      </c>
      <c r="F14">
        <f t="shared" si="4"/>
        <v>8.372000000000001E-3</v>
      </c>
      <c r="J14">
        <v>26</v>
      </c>
      <c r="K14">
        <f t="shared" si="1"/>
        <v>0.26</v>
      </c>
      <c r="L14">
        <v>0.32</v>
      </c>
      <c r="M14">
        <f t="shared" si="0"/>
        <v>3.32E-2</v>
      </c>
      <c r="N14">
        <v>0.63</v>
      </c>
      <c r="O14">
        <v>0.02</v>
      </c>
    </row>
    <row r="15" spans="1:15" x14ac:dyDescent="0.3">
      <c r="A15">
        <v>0.7</v>
      </c>
      <c r="B15">
        <f t="shared" si="2"/>
        <v>6.9999999999999993E-3</v>
      </c>
      <c r="C15">
        <v>0.46</v>
      </c>
      <c r="D15">
        <f t="shared" si="3"/>
        <v>3.4599999999999999E-2</v>
      </c>
      <c r="E15">
        <v>4.5179999999999998</v>
      </c>
      <c r="F15">
        <f t="shared" si="4"/>
        <v>8.7770000000000001E-3</v>
      </c>
      <c r="J15">
        <v>28</v>
      </c>
      <c r="K15">
        <f t="shared" si="1"/>
        <v>0.28000000000000003</v>
      </c>
      <c r="L15">
        <v>0.3</v>
      </c>
      <c r="M15">
        <f t="shared" si="0"/>
        <v>3.3000000000000002E-2</v>
      </c>
      <c r="N15">
        <v>0.59</v>
      </c>
      <c r="O15">
        <v>0.02</v>
      </c>
    </row>
    <row r="16" spans="1:15" x14ac:dyDescent="0.3">
      <c r="A16">
        <v>0.8</v>
      </c>
      <c r="B16">
        <f t="shared" si="2"/>
        <v>8.0000000000000002E-3</v>
      </c>
      <c r="C16">
        <v>0.48</v>
      </c>
      <c r="D16">
        <f t="shared" si="3"/>
        <v>3.4799999999999998E-2</v>
      </c>
      <c r="E16">
        <v>4.7649999999999997</v>
      </c>
      <c r="F16">
        <f t="shared" si="4"/>
        <v>9.1474999999999994E-3</v>
      </c>
      <c r="J16">
        <v>30</v>
      </c>
      <c r="K16">
        <f t="shared" si="1"/>
        <v>0.3</v>
      </c>
      <c r="L16">
        <v>0.28000000000000003</v>
      </c>
      <c r="M16">
        <f t="shared" si="0"/>
        <v>3.2799999999999996E-2</v>
      </c>
      <c r="N16">
        <v>0.54</v>
      </c>
      <c r="O16">
        <v>0.02</v>
      </c>
    </row>
    <row r="17" spans="1:15" x14ac:dyDescent="0.3">
      <c r="A17">
        <v>0.9</v>
      </c>
      <c r="B17">
        <f t="shared" si="2"/>
        <v>9.0000000000000011E-3</v>
      </c>
      <c r="C17">
        <v>0.51</v>
      </c>
      <c r="D17">
        <f t="shared" si="3"/>
        <v>3.5099999999999999E-2</v>
      </c>
      <c r="E17">
        <v>4.9740000000000002</v>
      </c>
      <c r="F17">
        <f t="shared" si="4"/>
        <v>9.4610000000000007E-3</v>
      </c>
      <c r="J17">
        <v>34</v>
      </c>
      <c r="K17">
        <f t="shared" si="1"/>
        <v>0.34</v>
      </c>
      <c r="L17">
        <v>0.25</v>
      </c>
      <c r="M17">
        <f t="shared" si="0"/>
        <v>3.2500000000000001E-2</v>
      </c>
      <c r="N17">
        <v>0.48</v>
      </c>
      <c r="O17">
        <v>0.02</v>
      </c>
    </row>
    <row r="18" spans="1:15" x14ac:dyDescent="0.3">
      <c r="A18">
        <v>1</v>
      </c>
      <c r="B18">
        <f t="shared" si="2"/>
        <v>0.01</v>
      </c>
      <c r="C18">
        <v>0.52</v>
      </c>
      <c r="D18">
        <f t="shared" si="3"/>
        <v>3.5200000000000002E-2</v>
      </c>
      <c r="E18">
        <v>5.1609999999999996</v>
      </c>
      <c r="F18">
        <f t="shared" si="4"/>
        <v>9.7415000000000002E-3</v>
      </c>
      <c r="J18">
        <v>38</v>
      </c>
      <c r="K18">
        <f t="shared" si="1"/>
        <v>0.38</v>
      </c>
      <c r="L18">
        <v>0.22</v>
      </c>
      <c r="M18">
        <f t="shared" si="0"/>
        <v>3.2199999999999999E-2</v>
      </c>
      <c r="N18">
        <v>0.44</v>
      </c>
      <c r="O18">
        <v>0.02</v>
      </c>
    </row>
    <row r="19" spans="1:15" x14ac:dyDescent="0.3">
      <c r="A19">
        <v>2</v>
      </c>
      <c r="B19">
        <f t="shared" si="2"/>
        <v>0.02</v>
      </c>
      <c r="C19">
        <v>0.64</v>
      </c>
      <c r="D19">
        <f t="shared" si="3"/>
        <v>3.6400000000000002E-2</v>
      </c>
      <c r="E19">
        <v>6.335</v>
      </c>
      <c r="F19">
        <f t="shared" si="4"/>
        <v>1.1502500000000001E-2</v>
      </c>
      <c r="J19">
        <v>42</v>
      </c>
      <c r="K19">
        <f t="shared" si="1"/>
        <v>0.42</v>
      </c>
      <c r="L19">
        <v>0.2</v>
      </c>
      <c r="M19">
        <f t="shared" si="0"/>
        <v>3.2000000000000001E-2</v>
      </c>
      <c r="N19">
        <v>0.39</v>
      </c>
      <c r="O19">
        <v>0.02</v>
      </c>
    </row>
    <row r="20" spans="1:15" x14ac:dyDescent="0.3">
      <c r="A20">
        <v>3</v>
      </c>
      <c r="B20">
        <f t="shared" si="2"/>
        <v>0.03</v>
      </c>
      <c r="C20">
        <v>0.7</v>
      </c>
      <c r="D20">
        <f t="shared" si="3"/>
        <v>3.6999999999999998E-2</v>
      </c>
      <c r="E20">
        <v>6.89</v>
      </c>
      <c r="F20">
        <f>0.0015*E20+2*0.01</f>
        <v>3.0335000000000001E-2</v>
      </c>
      <c r="J20">
        <v>46</v>
      </c>
      <c r="K20">
        <f t="shared" si="1"/>
        <v>0.46</v>
      </c>
      <c r="L20">
        <v>0.18</v>
      </c>
      <c r="M20">
        <f t="shared" si="0"/>
        <v>3.1800000000000002E-2</v>
      </c>
      <c r="N20">
        <v>0.36</v>
      </c>
      <c r="O20">
        <v>0.02</v>
      </c>
    </row>
    <row r="21" spans="1:15" x14ac:dyDescent="0.3">
      <c r="A21">
        <v>4</v>
      </c>
      <c r="B21">
        <f t="shared" si="2"/>
        <v>0.04</v>
      </c>
      <c r="C21">
        <v>0.73</v>
      </c>
      <c r="D21">
        <f t="shared" si="3"/>
        <v>3.73E-2</v>
      </c>
      <c r="E21">
        <v>7.23</v>
      </c>
      <c r="F21">
        <f t="shared" ref="F21:F31" si="5">0.0015*E21+2*0.01</f>
        <v>3.0845000000000001E-2</v>
      </c>
      <c r="J21">
        <v>50</v>
      </c>
      <c r="K21">
        <f t="shared" si="1"/>
        <v>0.5</v>
      </c>
      <c r="L21">
        <v>0.17</v>
      </c>
      <c r="M21">
        <f t="shared" si="0"/>
        <v>3.1699999999999999E-2</v>
      </c>
      <c r="N21">
        <v>0.33</v>
      </c>
      <c r="O21">
        <v>1E-3</v>
      </c>
    </row>
    <row r="22" spans="1:15" x14ac:dyDescent="0.3">
      <c r="A22">
        <v>5</v>
      </c>
      <c r="B22">
        <f t="shared" si="2"/>
        <v>0.05</v>
      </c>
      <c r="C22">
        <v>0.75</v>
      </c>
      <c r="D22">
        <f t="shared" si="3"/>
        <v>3.7499999999999999E-2</v>
      </c>
      <c r="E22">
        <v>7.45</v>
      </c>
      <c r="F22">
        <f t="shared" si="5"/>
        <v>3.1175000000000001E-2</v>
      </c>
      <c r="J22">
        <v>55</v>
      </c>
      <c r="K22">
        <f t="shared" si="1"/>
        <v>0.55000000000000004</v>
      </c>
      <c r="L22">
        <v>0.15</v>
      </c>
      <c r="M22">
        <f t="shared" si="0"/>
        <v>3.15E-2</v>
      </c>
      <c r="N22">
        <v>0.30499999999999999</v>
      </c>
      <c r="O22">
        <v>1E-3</v>
      </c>
    </row>
    <row r="23" spans="1:15" x14ac:dyDescent="0.3">
      <c r="A23">
        <v>6</v>
      </c>
      <c r="B23">
        <f t="shared" si="2"/>
        <v>0.06</v>
      </c>
      <c r="C23">
        <v>0.77</v>
      </c>
      <c r="D23">
        <f t="shared" si="3"/>
        <v>3.7699999999999997E-2</v>
      </c>
      <c r="E23">
        <v>7.61</v>
      </c>
      <c r="F23">
        <f t="shared" si="5"/>
        <v>3.1414999999999998E-2</v>
      </c>
      <c r="J23">
        <v>60</v>
      </c>
      <c r="K23">
        <f t="shared" si="1"/>
        <v>0.6</v>
      </c>
      <c r="L23">
        <v>0.14000000000000001</v>
      </c>
      <c r="M23">
        <f t="shared" si="0"/>
        <v>3.1399999999999997E-2</v>
      </c>
      <c r="N23">
        <v>0.27500000000000002</v>
      </c>
      <c r="O23">
        <v>1E-3</v>
      </c>
    </row>
    <row r="24" spans="1:15" x14ac:dyDescent="0.3">
      <c r="A24">
        <v>7</v>
      </c>
      <c r="B24">
        <f t="shared" si="2"/>
        <v>7.0000000000000007E-2</v>
      </c>
      <c r="C24">
        <v>0.78</v>
      </c>
      <c r="D24">
        <f t="shared" si="3"/>
        <v>3.78E-2</v>
      </c>
      <c r="E24">
        <v>7.73</v>
      </c>
      <c r="F24">
        <f t="shared" si="5"/>
        <v>3.1594999999999998E-2</v>
      </c>
      <c r="J24">
        <v>70</v>
      </c>
      <c r="K24">
        <f t="shared" si="1"/>
        <v>0.70000000000000007</v>
      </c>
      <c r="L24">
        <v>0.12</v>
      </c>
      <c r="M24">
        <f t="shared" si="0"/>
        <v>3.1199999999999999E-2</v>
      </c>
      <c r="N24">
        <v>0.23499999999999999</v>
      </c>
      <c r="O24">
        <v>1E-3</v>
      </c>
    </row>
    <row r="25" spans="1:15" x14ac:dyDescent="0.3">
      <c r="A25">
        <v>8</v>
      </c>
      <c r="B25">
        <f t="shared" si="2"/>
        <v>0.08</v>
      </c>
      <c r="C25">
        <v>0.79</v>
      </c>
      <c r="D25">
        <f t="shared" si="3"/>
        <v>3.7900000000000003E-2</v>
      </c>
      <c r="E25">
        <v>7.83</v>
      </c>
      <c r="F25">
        <f t="shared" si="5"/>
        <v>3.1745000000000002E-2</v>
      </c>
      <c r="J25">
        <v>100</v>
      </c>
      <c r="K25">
        <f t="shared" si="1"/>
        <v>1</v>
      </c>
      <c r="L25">
        <v>0.09</v>
      </c>
      <c r="M25">
        <f t="shared" si="0"/>
        <v>3.09E-2</v>
      </c>
      <c r="N25">
        <v>0.152</v>
      </c>
      <c r="O25">
        <v>1E-3</v>
      </c>
    </row>
    <row r="26" spans="1:15" x14ac:dyDescent="0.3">
      <c r="A26">
        <v>9</v>
      </c>
      <c r="B26">
        <f t="shared" si="2"/>
        <v>0.09</v>
      </c>
      <c r="C26">
        <v>0.8</v>
      </c>
      <c r="D26">
        <f t="shared" si="3"/>
        <v>3.7999999999999999E-2</v>
      </c>
      <c r="E26">
        <v>7.88</v>
      </c>
      <c r="F26">
        <f t="shared" si="5"/>
        <v>3.1820000000000001E-2</v>
      </c>
    </row>
    <row r="27" spans="1:15" x14ac:dyDescent="0.3">
      <c r="A27">
        <v>10</v>
      </c>
      <c r="B27">
        <f t="shared" si="2"/>
        <v>0.1</v>
      </c>
      <c r="C27">
        <v>0.81</v>
      </c>
      <c r="D27">
        <f t="shared" si="3"/>
        <v>3.8100000000000002E-2</v>
      </c>
      <c r="E27">
        <v>7.95</v>
      </c>
      <c r="F27">
        <f t="shared" si="5"/>
        <v>3.1925000000000002E-2</v>
      </c>
    </row>
    <row r="28" spans="1:15" x14ac:dyDescent="0.3">
      <c r="A28">
        <v>11</v>
      </c>
      <c r="B28">
        <f t="shared" si="2"/>
        <v>0.11</v>
      </c>
      <c r="C28">
        <v>0.81</v>
      </c>
      <c r="D28">
        <f t="shared" si="3"/>
        <v>3.8100000000000002E-2</v>
      </c>
      <c r="E28">
        <v>8</v>
      </c>
      <c r="F28">
        <f t="shared" si="5"/>
        <v>3.2000000000000001E-2</v>
      </c>
    </row>
    <row r="29" spans="1:15" x14ac:dyDescent="0.3">
      <c r="A29">
        <v>1.3</v>
      </c>
      <c r="B29">
        <f t="shared" si="2"/>
        <v>1.3000000000000001E-2</v>
      </c>
      <c r="C29">
        <v>0.56999999999999995</v>
      </c>
      <c r="D29">
        <f t="shared" si="3"/>
        <v>3.5699999999999996E-2</v>
      </c>
      <c r="E29">
        <v>5.62</v>
      </c>
      <c r="F29">
        <f t="shared" si="5"/>
        <v>2.843E-2</v>
      </c>
    </row>
    <row r="30" spans="1:15" x14ac:dyDescent="0.3">
      <c r="A30">
        <v>1.6</v>
      </c>
      <c r="B30">
        <f t="shared" si="2"/>
        <v>1.6E-2</v>
      </c>
      <c r="C30">
        <v>0.61</v>
      </c>
      <c r="D30">
        <f t="shared" si="3"/>
        <v>3.61E-2</v>
      </c>
      <c r="E30">
        <v>5.96</v>
      </c>
      <c r="F30">
        <f t="shared" si="5"/>
        <v>2.894E-2</v>
      </c>
    </row>
    <row r="31" spans="1:15" x14ac:dyDescent="0.3">
      <c r="A31">
        <v>2.5</v>
      </c>
      <c r="B31">
        <f t="shared" si="2"/>
        <v>2.5000000000000001E-2</v>
      </c>
      <c r="C31">
        <v>0.67</v>
      </c>
      <c r="D31">
        <f t="shared" si="3"/>
        <v>3.6699999999999997E-2</v>
      </c>
      <c r="E31">
        <v>6.63</v>
      </c>
      <c r="F31">
        <f t="shared" si="5"/>
        <v>2.9944999999999999E-2</v>
      </c>
    </row>
    <row r="43" spans="11:15" x14ac:dyDescent="0.3">
      <c r="K43" t="s">
        <v>17</v>
      </c>
    </row>
    <row r="44" spans="11:15" x14ac:dyDescent="0.3">
      <c r="K44" t="s">
        <v>18</v>
      </c>
      <c r="N44" t="s">
        <v>20</v>
      </c>
    </row>
    <row r="45" spans="11:15" x14ac:dyDescent="0.3">
      <c r="K45" t="s">
        <v>19</v>
      </c>
      <c r="L45" t="s">
        <v>6</v>
      </c>
      <c r="N45" t="s">
        <v>8</v>
      </c>
    </row>
    <row r="46" spans="11:15" x14ac:dyDescent="0.3">
      <c r="K46">
        <v>80</v>
      </c>
      <c r="L46">
        <f>K46/100</f>
        <v>0.8</v>
      </c>
      <c r="N46">
        <v>3.5</v>
      </c>
      <c r="O46" s="2" t="s">
        <v>21</v>
      </c>
    </row>
    <row r="47" spans="11:15" x14ac:dyDescent="0.3">
      <c r="K47" s="2" t="s">
        <v>22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Němec</dc:creator>
  <cp:lastModifiedBy>David Němec</cp:lastModifiedBy>
  <cp:lastPrinted>2025-11-24T16:07:58Z</cp:lastPrinted>
  <dcterms:created xsi:type="dcterms:W3CDTF">2025-11-24T13:57:02Z</dcterms:created>
  <dcterms:modified xsi:type="dcterms:W3CDTF">2025-11-24T16:10:38Z</dcterms:modified>
</cp:coreProperties>
</file>