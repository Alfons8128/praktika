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<sst xmlns="http://schemas.openxmlformats.org/spreadsheetml/2006/main" count="15" uniqueCount="11">
  <si>
    <t xml:space="preserve">T</t>
  </si>
  <si>
    <t xml:space="preserve">R</t>
  </si>
  <si>
    <t xml:space="preserve">alfa</t>
  </si>
  <si>
    <t xml:space="preserve">R = k t + q</t>
  </si>
  <si>
    <t xml:space="preserve">R = R_0 * alfa * t + R_0</t>
  </si>
  <si>
    <t xml:space="preserve">alfa = k / q</t>
  </si>
  <si>
    <t xml:space="preserve">k</t>
  </si>
  <si>
    <t xml:space="preserve">q (=R_0)</t>
  </si>
  <si>
    <t xml:space="preserve">pro 6 bodů</t>
  </si>
  <si>
    <t xml:space="preserve">pro všech 10</t>
  </si>
  <si>
    <t xml:space="preserve">alfa z regrese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</si>
</sst>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Tomášovo 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Sheet1!$A$14:$A$23</c:f>
              <c:numCache>
                <c:formatCode>General</c:formatCode>
                <c:ptCount val="10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  <c:pt idx="4">
                  <c:v>24</c:v>
                </c:pt>
                <c:pt idx="5">
                  <c:v>27</c:v>
                </c:pt>
                <c:pt idx="6">
                  <c:v>30</c:v>
                </c:pt>
                <c:pt idx="7">
                  <c:v>33</c:v>
                </c:pt>
                <c:pt idx="8">
                  <c:v>36</c:v>
                </c:pt>
                <c:pt idx="9">
                  <c:v>39</c:v>
                </c:pt>
              </c:numCache>
            </c:numRef>
          </c:xVal>
          <c:yVal>
            <c:numRef>
              <c:f>Sheet1!$B$14:$B$23</c:f>
              <c:numCache>
                <c:formatCode>General</c:formatCode>
                <c:ptCount val="10"/>
                <c:pt idx="0">
                  <c:v>7.98</c:v>
                </c:pt>
                <c:pt idx="1">
                  <c:v>8.08</c:v>
                </c:pt>
                <c:pt idx="2">
                  <c:v>8.19</c:v>
                </c:pt>
                <c:pt idx="3">
                  <c:v>8.28</c:v>
                </c:pt>
                <c:pt idx="4">
                  <c:v>8.39</c:v>
                </c:pt>
                <c:pt idx="5">
                  <c:v>8.48</c:v>
                </c:pt>
                <c:pt idx="6">
                  <c:v>8.58</c:v>
                </c:pt>
                <c:pt idx="7">
                  <c:v>8.68</c:v>
                </c:pt>
                <c:pt idx="8">
                  <c:v>8.78</c:v>
                </c:pt>
                <c:pt idx="9">
                  <c:v>8.88</c:v>
                </c:pt>
              </c:numCache>
            </c:numRef>
          </c:yVal>
          <c:smooth val="0"/>
        </c:ser>
        <c:axId val="80163693"/>
        <c:axId val="3117285"/>
      </c:scatterChart>
      <c:valAx>
        <c:axId val="801636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17285"/>
        <c:crosses val="autoZero"/>
        <c:crossBetween val="between"/>
      </c:valAx>
      <c:valAx>
        <c:axId val="31172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16369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jen prvních 6 bodů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32</c:v>
                </c:pt>
                <c:pt idx="1">
                  <c:v>35</c:v>
                </c:pt>
                <c:pt idx="2">
                  <c:v>38</c:v>
                </c:pt>
                <c:pt idx="3">
                  <c:v>41</c:v>
                </c:pt>
                <c:pt idx="4">
                  <c:v>44</c:v>
                </c:pt>
                <c:pt idx="5">
                  <c:v>47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9.07</c:v>
                </c:pt>
                <c:pt idx="1">
                  <c:v>9.16</c:v>
                </c:pt>
                <c:pt idx="2">
                  <c:v>9.26</c:v>
                </c:pt>
                <c:pt idx="3">
                  <c:v>9.36</c:v>
                </c:pt>
                <c:pt idx="4">
                  <c:v>9.48</c:v>
                </c:pt>
                <c:pt idx="5">
                  <c:v>9.58</c:v>
                </c:pt>
              </c:numCache>
            </c:numRef>
          </c:yVal>
          <c:smooth val="0"/>
        </c:ser>
        <c:axId val="99781714"/>
        <c:axId val="70462093"/>
      </c:scatterChart>
      <c:valAx>
        <c:axId val="997817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462093"/>
        <c:crosses val="autoZero"/>
        <c:crossBetween val="between"/>
      </c:valAx>
      <c:valAx>
        <c:axId val="704620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 (ohm)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78171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32</c:v>
                </c:pt>
                <c:pt idx="1">
                  <c:v>35</c:v>
                </c:pt>
                <c:pt idx="2">
                  <c:v>38</c:v>
                </c:pt>
                <c:pt idx="3">
                  <c:v>41</c:v>
                </c:pt>
                <c:pt idx="4">
                  <c:v>44</c:v>
                </c:pt>
                <c:pt idx="5">
                  <c:v>47</c:v>
                </c:pt>
                <c:pt idx="6">
                  <c:v>50</c:v>
                </c:pt>
                <c:pt idx="7">
                  <c:v>53</c:v>
                </c:pt>
                <c:pt idx="8">
                  <c:v>56</c:v>
                </c:pt>
                <c:pt idx="9">
                  <c:v>59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9.07</c:v>
                </c:pt>
                <c:pt idx="1">
                  <c:v>9.16</c:v>
                </c:pt>
                <c:pt idx="2">
                  <c:v>9.26</c:v>
                </c:pt>
                <c:pt idx="3">
                  <c:v>9.36</c:v>
                </c:pt>
                <c:pt idx="4">
                  <c:v>9.48</c:v>
                </c:pt>
                <c:pt idx="5">
                  <c:v>9.58</c:v>
                </c:pt>
                <c:pt idx="6">
                  <c:v>9.83</c:v>
                </c:pt>
                <c:pt idx="7">
                  <c:v>9.92</c:v>
                </c:pt>
                <c:pt idx="8">
                  <c:v>10.1</c:v>
                </c:pt>
                <c:pt idx="9">
                  <c:v>10.3</c:v>
                </c:pt>
              </c:numCache>
            </c:numRef>
          </c:yVal>
          <c:smooth val="0"/>
        </c:ser>
        <c:axId val="39699735"/>
        <c:axId val="25388284"/>
      </c:scatterChart>
      <c:valAx>
        <c:axId val="396997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388284"/>
        <c:crosses val="autoZero"/>
        <c:crossBetween val="between"/>
      </c:valAx>
      <c:valAx>
        <c:axId val="253882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 (ohm)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969973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214560</xdr:colOff>
      <xdr:row>23</xdr:row>
      <xdr:rowOff>123480</xdr:rowOff>
    </xdr:from>
    <xdr:to>
      <xdr:col>7</xdr:col>
      <xdr:colOff>284040</xdr:colOff>
      <xdr:row>43</xdr:row>
      <xdr:rowOff>108000</xdr:rowOff>
    </xdr:to>
    <xdr:graphicFrame>
      <xdr:nvGraphicFramePr>
        <xdr:cNvPr id="0" name=""/>
        <xdr:cNvGraphicFramePr/>
      </xdr:nvGraphicFramePr>
      <xdr:xfrm>
        <a:off x="214560" y="3862440"/>
        <a:ext cx="575892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498600</xdr:colOff>
      <xdr:row>22</xdr:row>
      <xdr:rowOff>30960</xdr:rowOff>
    </xdr:from>
    <xdr:to>
      <xdr:col>14</xdr:col>
      <xdr:colOff>567360</xdr:colOff>
      <xdr:row>42</xdr:row>
      <xdr:rowOff>15480</xdr:rowOff>
    </xdr:to>
    <xdr:graphicFrame>
      <xdr:nvGraphicFramePr>
        <xdr:cNvPr id="1" name=""/>
        <xdr:cNvGraphicFramePr/>
      </xdr:nvGraphicFramePr>
      <xdr:xfrm>
        <a:off x="6188040" y="3607200"/>
        <a:ext cx="575856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420120</xdr:colOff>
      <xdr:row>0</xdr:row>
      <xdr:rowOff>51480</xdr:rowOff>
    </xdr:from>
    <xdr:to>
      <xdr:col>15</xdr:col>
      <xdr:colOff>489960</xdr:colOff>
      <xdr:row>20</xdr:row>
      <xdr:rowOff>39960</xdr:rowOff>
    </xdr:to>
    <xdr:graphicFrame>
      <xdr:nvGraphicFramePr>
        <xdr:cNvPr id="2" name=""/>
        <xdr:cNvGraphicFramePr/>
      </xdr:nvGraphicFramePr>
      <xdr:xfrm>
        <a:off x="6922440" y="51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32</v>
      </c>
      <c r="B2" s="0" t="n">
        <v>9.07</v>
      </c>
      <c r="C2" s="0" t="n">
        <f aca="false">(B7-B2)/(B2*A7-B7*A2)</f>
        <v>0.00425958406414432</v>
      </c>
      <c r="E2" s="0" t="s">
        <v>3</v>
      </c>
    </row>
    <row r="3" customFormat="false" ht="12.8" hidden="false" customHeight="false" outlineLevel="0" collapsed="false">
      <c r="A3" s="0" t="n">
        <v>35</v>
      </c>
      <c r="B3" s="0" t="n">
        <v>9.16</v>
      </c>
      <c r="C3" s="0" t="n">
        <f aca="false">(B8-B3)/(B3*A8-B8*A3)</f>
        <v>0.00587977182974989</v>
      </c>
      <c r="E3" s="0" t="s">
        <v>4</v>
      </c>
    </row>
    <row r="4" customFormat="false" ht="12.8" hidden="false" customHeight="false" outlineLevel="0" collapsed="false">
      <c r="A4" s="0" t="n">
        <v>38</v>
      </c>
      <c r="B4" s="0" t="n">
        <v>9.26</v>
      </c>
      <c r="C4" s="0" t="n">
        <f aca="false">(B9-B4)/(B4*A9-B9*A4)</f>
        <v>0.00579862941486558</v>
      </c>
      <c r="E4" s="0" t="s">
        <v>5</v>
      </c>
    </row>
    <row r="5" customFormat="false" ht="12.8" hidden="false" customHeight="false" outlineLevel="0" collapsed="false">
      <c r="A5" s="0" t="n">
        <v>41</v>
      </c>
      <c r="B5" s="0" t="n">
        <v>9.36</v>
      </c>
      <c r="C5" s="0" t="n">
        <f aca="false">(B10-B5)/(B5*A10-B10*A5)</f>
        <v>0.00672360530619662</v>
      </c>
      <c r="E5" s="1"/>
      <c r="F5" s="1" t="s">
        <v>6</v>
      </c>
      <c r="G5" s="1" t="s">
        <v>7</v>
      </c>
      <c r="H5" s="1" t="s">
        <v>5</v>
      </c>
    </row>
    <row r="6" customFormat="false" ht="12.8" hidden="false" customHeight="false" outlineLevel="0" collapsed="false">
      <c r="A6" s="0" t="n">
        <v>44</v>
      </c>
      <c r="B6" s="0" t="n">
        <v>9.48</v>
      </c>
      <c r="C6" s="0" t="n">
        <f aca="false">(B11-B6)/(B6*A11-B11*A6)</f>
        <v>0.00772710139464757</v>
      </c>
      <c r="E6" s="1" t="s">
        <v>8</v>
      </c>
      <c r="F6" s="2" t="n">
        <v>0.034381</v>
      </c>
      <c r="G6" s="2" t="n">
        <v>7.9603</v>
      </c>
      <c r="H6" s="2" t="n">
        <f aca="false">F6/G6</f>
        <v>0.00431905832694748</v>
      </c>
    </row>
    <row r="7" customFormat="false" ht="12.8" hidden="false" customHeight="false" outlineLevel="0" collapsed="false">
      <c r="A7" s="0" t="n">
        <v>47</v>
      </c>
      <c r="B7" s="0" t="n">
        <v>9.58</v>
      </c>
      <c r="C7" s="1" t="n">
        <f aca="false">AVERAGE(C2:C6)</f>
        <v>0.0060777384019208</v>
      </c>
      <c r="E7" s="1" t="s">
        <v>9</v>
      </c>
      <c r="F7" s="2" t="n">
        <v>0.045374</v>
      </c>
      <c r="G7" s="2" t="n">
        <v>7.5415</v>
      </c>
      <c r="H7" s="2" t="n">
        <f aca="false">F7/G7</f>
        <v>0.00601657495193264</v>
      </c>
    </row>
    <row r="8" customFormat="false" ht="12.8" hidden="false" customHeight="false" outlineLevel="0" collapsed="false">
      <c r="A8" s="0" t="n">
        <v>50</v>
      </c>
      <c r="B8" s="0" t="n">
        <v>9.83</v>
      </c>
      <c r="C8" s="0" t="n">
        <f aca="false">STDEV(C2:C6)/SQRT(5)</f>
        <v>0.000572726816472869</v>
      </c>
    </row>
    <row r="9" customFormat="false" ht="12.8" hidden="false" customHeight="false" outlineLevel="0" collapsed="false">
      <c r="A9" s="0" t="n">
        <v>53</v>
      </c>
      <c r="B9" s="0" t="n">
        <v>9.92</v>
      </c>
    </row>
    <row r="10" customFormat="false" ht="12.8" hidden="false" customHeight="false" outlineLevel="0" collapsed="false">
      <c r="A10" s="0" t="n">
        <v>56</v>
      </c>
      <c r="B10" s="0" t="n">
        <v>10.1</v>
      </c>
    </row>
    <row r="11" customFormat="false" ht="12.8" hidden="false" customHeight="false" outlineLevel="0" collapsed="false">
      <c r="A11" s="0" t="n">
        <v>59</v>
      </c>
      <c r="B11" s="0" t="n">
        <v>10.3</v>
      </c>
    </row>
    <row r="13" customFormat="false" ht="12.8" hidden="false" customHeight="false" outlineLevel="0" collapsed="false">
      <c r="A13" s="0" t="s">
        <v>0</v>
      </c>
      <c r="B13" s="0" t="s">
        <v>1</v>
      </c>
      <c r="C13" s="0" t="s">
        <v>2</v>
      </c>
      <c r="D13" s="0" t="s">
        <v>10</v>
      </c>
    </row>
    <row r="14" customFormat="false" ht="12.8" hidden="false" customHeight="false" outlineLevel="0" collapsed="false">
      <c r="A14" s="0" t="n">
        <v>12</v>
      </c>
      <c r="B14" s="0" t="n">
        <v>7.98</v>
      </c>
      <c r="C14" s="0" t="n">
        <f aca="false">(B19-B14)/(B14*A19-B19*A14)</f>
        <v>0.00439753737906772</v>
      </c>
      <c r="D14" s="0" t="n">
        <f aca="false">0.03321/7.5850909</f>
        <v>0.00437832590773566</v>
      </c>
    </row>
    <row r="15" customFormat="false" ht="12.8" hidden="false" customHeight="false" outlineLevel="0" collapsed="false">
      <c r="A15" s="0" t="n">
        <v>15</v>
      </c>
      <c r="B15" s="0" t="n">
        <v>8.08</v>
      </c>
      <c r="C15" s="0" t="n">
        <f aca="false">(B20-B15)/(B15*A20-B20*A15)</f>
        <v>0.00439753737906772</v>
      </c>
    </row>
    <row r="16" customFormat="false" ht="12.8" hidden="false" customHeight="false" outlineLevel="0" collapsed="false">
      <c r="A16" s="0" t="n">
        <v>18</v>
      </c>
      <c r="B16" s="0" t="n">
        <v>8.19</v>
      </c>
      <c r="C16" s="0" t="n">
        <f aca="false">(B21-B16)/(B16*A21-B21*A16)</f>
        <v>0.00429711479435237</v>
      </c>
    </row>
    <row r="17" customFormat="false" ht="12.8" hidden="false" customHeight="false" outlineLevel="0" collapsed="false">
      <c r="A17" s="0" t="n">
        <v>21</v>
      </c>
      <c r="B17" s="0" t="n">
        <v>8.28</v>
      </c>
      <c r="C17" s="0" t="n">
        <f aca="false">(B22-B17)/(B17*A22-B22*A17)</f>
        <v>0.00439753737906772</v>
      </c>
    </row>
    <row r="18" customFormat="false" ht="12.8" hidden="false" customHeight="false" outlineLevel="0" collapsed="false">
      <c r="A18" s="0" t="n">
        <v>24</v>
      </c>
      <c r="B18" s="0" t="n">
        <v>8.39</v>
      </c>
      <c r="C18" s="0" t="n">
        <f aca="false">(B23-B18)/(B18*A23-B23*A18)</f>
        <v>0.00429485493908318</v>
      </c>
    </row>
    <row r="19" customFormat="false" ht="12.8" hidden="false" customHeight="false" outlineLevel="0" collapsed="false">
      <c r="A19" s="0" t="n">
        <v>27</v>
      </c>
      <c r="B19" s="0" t="n">
        <v>8.48</v>
      </c>
      <c r="C19" s="1" t="n">
        <f aca="false">AVERAGE(C14:C18)</f>
        <v>0.00435691637412774</v>
      </c>
    </row>
    <row r="20" customFormat="false" ht="12.8" hidden="false" customHeight="false" outlineLevel="0" collapsed="false">
      <c r="A20" s="0" t="n">
        <v>30</v>
      </c>
      <c r="B20" s="0" t="n">
        <v>8.58</v>
      </c>
    </row>
    <row r="21" customFormat="false" ht="12.8" hidden="false" customHeight="false" outlineLevel="0" collapsed="false">
      <c r="A21" s="0" t="n">
        <v>33</v>
      </c>
      <c r="B21" s="0" t="n">
        <v>8.68</v>
      </c>
    </row>
    <row r="22" customFormat="false" ht="12.8" hidden="false" customHeight="false" outlineLevel="0" collapsed="false">
      <c r="A22" s="0" t="n">
        <v>36</v>
      </c>
      <c r="B22" s="0" t="n">
        <v>8.78</v>
      </c>
    </row>
    <row r="23" customFormat="false" ht="12.8" hidden="false" customHeight="false" outlineLevel="0" collapsed="false">
      <c r="A23" s="0" t="n">
        <v>39</v>
      </c>
      <c r="B23" s="0" t="n">
        <v>8.88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2026-04-08T22:28:21Z</dcterms:created>
  <dc:creator/>
  <dc:description/>
  <dc:language>en-US</dc:language>
  <cp:lastModifiedBy/>
  <dcterms:modified xsi:type="dcterms:W3CDTF">2026-04-09T07:27:39Z</dcterms:modified>
  <cp:revision>2</cp:revision>
  <dc:subject/>
  <dc:title/>
</cp:coreProperties>
</file>