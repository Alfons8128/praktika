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mec\david\school\praktika\uloha28\"/>
    </mc:Choice>
  </mc:AlternateContent>
  <xr:revisionPtr revIDLastSave="0" documentId="13_ncr:1_{BFED3B96-D3A3-4A8F-959C-B6CF845545A8}" xr6:coauthVersionLast="47" xr6:coauthVersionMax="47" xr10:uidLastSave="{00000000-0000-0000-0000-000000000000}"/>
  <bookViews>
    <workbookView xWindow="-108" yWindow="-108" windowWidth="23256" windowHeight="12456" xr2:uid="{168F654F-1575-4592-821A-2A29CD728C1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6" i="1"/>
  <c r="S5" i="1"/>
  <c r="S4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7" i="1"/>
  <c r="N6" i="1"/>
  <c r="N4" i="1"/>
  <c r="N5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26" i="1"/>
  <c r="E25" i="1"/>
  <c r="E27" i="1"/>
  <c r="E46" i="1"/>
  <c r="I27" i="1"/>
  <c r="I28" i="1"/>
  <c r="I29" i="1"/>
  <c r="I30" i="1"/>
  <c r="I31" i="1"/>
  <c r="I32" i="1"/>
  <c r="I26" i="1"/>
  <c r="J27" i="1"/>
  <c r="J28" i="1"/>
  <c r="J29" i="1"/>
  <c r="J30" i="1"/>
  <c r="J31" i="1"/>
  <c r="J32" i="1"/>
  <c r="J26" i="1"/>
  <c r="D4" i="1"/>
  <c r="D5" i="1"/>
  <c r="D6" i="1"/>
  <c r="D7" i="1"/>
  <c r="D8" i="1"/>
  <c r="D9" i="1"/>
  <c r="D10" i="1"/>
  <c r="D11" i="1"/>
  <c r="D12" i="1"/>
  <c r="D13" i="1"/>
  <c r="D14" i="1"/>
  <c r="D15" i="1"/>
  <c r="D3" i="1"/>
  <c r="E6" i="1"/>
  <c r="E7" i="1"/>
  <c r="E8" i="1"/>
  <c r="E9" i="1"/>
  <c r="E10" i="1"/>
  <c r="E11" i="1"/>
  <c r="E12" i="1"/>
  <c r="E13" i="1"/>
  <c r="E5" i="1"/>
  <c r="E4" i="1"/>
  <c r="E14" i="1"/>
  <c r="E15" i="1"/>
  <c r="E3" i="1"/>
  <c r="R15" i="1"/>
  <c r="M11" i="1"/>
  <c r="M12" i="1"/>
  <c r="M13" i="1"/>
  <c r="M14" i="1"/>
  <c r="M15" i="1"/>
  <c r="M16" i="1"/>
  <c r="M17" i="1"/>
  <c r="M18" i="1"/>
  <c r="Q5" i="1"/>
  <c r="R5" i="1" s="1"/>
  <c r="Q6" i="1"/>
  <c r="R6" i="1" s="1"/>
  <c r="Q7" i="1"/>
  <c r="R7" i="1" s="1"/>
  <c r="Q8" i="1"/>
  <c r="R8" i="1" s="1"/>
  <c r="Q9" i="1"/>
  <c r="R9" i="1" s="1"/>
  <c r="Q10" i="1"/>
  <c r="R10" i="1" s="1"/>
  <c r="Q11" i="1"/>
  <c r="R11" i="1" s="1"/>
  <c r="Q12" i="1"/>
  <c r="R12" i="1" s="1"/>
  <c r="Q13" i="1"/>
  <c r="R13" i="1" s="1"/>
  <c r="Q14" i="1"/>
  <c r="R14" i="1" s="1"/>
  <c r="Q15" i="1"/>
  <c r="Q16" i="1"/>
  <c r="R16" i="1" s="1"/>
  <c r="Q17" i="1"/>
  <c r="R17" i="1" s="1"/>
  <c r="Q18" i="1"/>
  <c r="R18" i="1" s="1"/>
  <c r="Q19" i="1"/>
  <c r="R19" i="1" s="1"/>
  <c r="Q20" i="1"/>
  <c r="R20" i="1" s="1"/>
  <c r="Q21" i="1"/>
  <c r="R21" i="1" s="1"/>
  <c r="Q4" i="1"/>
  <c r="R4" i="1" s="1"/>
  <c r="C45" i="1"/>
  <c r="D45" i="1" s="1"/>
  <c r="C46" i="1"/>
  <c r="D46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L12" i="1"/>
  <c r="L13" i="1"/>
  <c r="L14" i="1"/>
  <c r="L15" i="1"/>
  <c r="L16" i="1"/>
  <c r="L17" i="1"/>
  <c r="L18" i="1"/>
  <c r="L19" i="1"/>
  <c r="M19" i="1" s="1"/>
  <c r="L20" i="1"/>
  <c r="M20" i="1" s="1"/>
  <c r="L21" i="1"/>
  <c r="M21" i="1" s="1"/>
  <c r="L22" i="1"/>
  <c r="M22" i="1" s="1"/>
  <c r="L23" i="1"/>
  <c r="M23" i="1" s="1"/>
  <c r="L4" i="1"/>
  <c r="M4" i="1" s="1"/>
  <c r="C44" i="1"/>
  <c r="D44" i="1" s="1"/>
  <c r="C43" i="1"/>
  <c r="D43" i="1" s="1"/>
  <c r="C42" i="1"/>
  <c r="D42" i="1" s="1"/>
  <c r="C41" i="1"/>
  <c r="D41" i="1" s="1"/>
  <c r="C40" i="1"/>
  <c r="D40" i="1" s="1"/>
  <c r="C39" i="1"/>
  <c r="D39" i="1" s="1"/>
  <c r="C38" i="1"/>
  <c r="D38" i="1" s="1"/>
  <c r="C37" i="1"/>
  <c r="D37" i="1" s="1"/>
  <c r="C36" i="1"/>
  <c r="D36" i="1" s="1"/>
  <c r="C26" i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33" i="1"/>
  <c r="D33" i="1" s="1"/>
  <c r="C34" i="1"/>
  <c r="D34" i="1" s="1"/>
  <c r="C35" i="1"/>
  <c r="D35" i="1" s="1"/>
  <c r="C25" i="1"/>
  <c r="D25" i="1" s="1"/>
  <c r="C20" i="1"/>
  <c r="C21" i="1"/>
  <c r="B21" i="1"/>
  <c r="D21" i="1" s="1"/>
  <c r="B20" i="1"/>
  <c r="D20" i="1" s="1"/>
  <c r="C19" i="1"/>
  <c r="B19" i="1"/>
  <c r="D19" i="1" s="1"/>
  <c r="F21" i="1" l="1"/>
  <c r="F19" i="1"/>
  <c r="F20" i="1"/>
  <c r="E20" i="1"/>
  <c r="E21" i="1" l="1"/>
  <c r="E19" i="1"/>
</calcChain>
</file>

<file path=xl/sharedStrings.xml><?xml version="1.0" encoding="utf-8"?>
<sst xmlns="http://schemas.openxmlformats.org/spreadsheetml/2006/main" count="37" uniqueCount="18">
  <si>
    <t>P/Psun</t>
  </si>
  <si>
    <t>Uoc (V)</t>
  </si>
  <si>
    <t>Isc (mA)</t>
  </si>
  <si>
    <t>dUoc</t>
  </si>
  <si>
    <t>dIsc</t>
  </si>
  <si>
    <t>0,25sun</t>
  </si>
  <si>
    <t>0,5sun</t>
  </si>
  <si>
    <t>1,0sun</t>
  </si>
  <si>
    <t>maxRL</t>
  </si>
  <si>
    <t>minRL</t>
  </si>
  <si>
    <t>nízké osvětlení</t>
  </si>
  <si>
    <t>U adapt (V)</t>
  </si>
  <si>
    <t>Uoc (mV)</t>
  </si>
  <si>
    <t>RLopt (ohm)</t>
  </si>
  <si>
    <t>R_L (ohm)</t>
  </si>
  <si>
    <t>P (microW)</t>
  </si>
  <si>
    <t>Isc (microA)</t>
  </si>
  <si>
    <t>Iosc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</si>
</sst>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log(</a:t>
            </a:r>
            <a:r>
              <a:rPr lang="en-US"/>
              <a:t>Isc</a:t>
            </a:r>
            <a:r>
              <a:rPr lang="cs-CZ"/>
              <a:t>)</a:t>
            </a:r>
            <a:r>
              <a:rPr lang="en-US"/>
              <a:t> 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List1!$C$2</c:f>
              <c:strCache>
                <c:ptCount val="1"/>
                <c:pt idx="0">
                  <c:v>Isc (mA)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List1!$B$3:$B$15</c:f>
              <c:numCache>
                <c:formatCode>General</c:formatCode>
                <c:ptCount val="13"/>
                <c:pt idx="0">
                  <c:v>0.47949999999999998</c:v>
                </c:pt>
                <c:pt idx="1">
                  <c:v>0.51100000000000001</c:v>
                </c:pt>
                <c:pt idx="2">
                  <c:v>0.51919999999999999</c:v>
                </c:pt>
                <c:pt idx="3">
                  <c:v>0.52569999999999995</c:v>
                </c:pt>
                <c:pt idx="4">
                  <c:v>0.53454000000000002</c:v>
                </c:pt>
                <c:pt idx="5">
                  <c:v>0.54100000000000004</c:v>
                </c:pt>
                <c:pt idx="6">
                  <c:v>0.54432000000000003</c:v>
                </c:pt>
                <c:pt idx="7">
                  <c:v>0.54749999999999999</c:v>
                </c:pt>
                <c:pt idx="8">
                  <c:v>0.55059999999999998</c:v>
                </c:pt>
                <c:pt idx="9">
                  <c:v>0.55279999999999996</c:v>
                </c:pt>
                <c:pt idx="10">
                  <c:v>0.55306</c:v>
                </c:pt>
                <c:pt idx="11">
                  <c:v>0.48759999999999998</c:v>
                </c:pt>
                <c:pt idx="12">
                  <c:v>0.49826999999999999</c:v>
                </c:pt>
              </c:numCache>
            </c:numRef>
          </c:xVal>
          <c:yVal>
            <c:numRef>
              <c:f>List1!$C$3:$C$15</c:f>
              <c:numCache>
                <c:formatCode>General</c:formatCode>
                <c:ptCount val="13"/>
                <c:pt idx="0">
                  <c:v>7.65</c:v>
                </c:pt>
                <c:pt idx="1">
                  <c:v>17.25</c:v>
                </c:pt>
                <c:pt idx="2">
                  <c:v>22.212</c:v>
                </c:pt>
                <c:pt idx="3">
                  <c:v>27.216000000000001</c:v>
                </c:pt>
                <c:pt idx="4">
                  <c:v>37.143000000000001</c:v>
                </c:pt>
                <c:pt idx="5">
                  <c:v>47.088000000000001</c:v>
                </c:pt>
                <c:pt idx="6">
                  <c:v>56.622</c:v>
                </c:pt>
                <c:pt idx="7">
                  <c:v>65.977999999999994</c:v>
                </c:pt>
                <c:pt idx="8">
                  <c:v>75.102000000000004</c:v>
                </c:pt>
                <c:pt idx="9">
                  <c:v>84.201999999999998</c:v>
                </c:pt>
                <c:pt idx="10">
                  <c:v>92.472999999999999</c:v>
                </c:pt>
                <c:pt idx="11">
                  <c:v>9.4160000000000004</c:v>
                </c:pt>
                <c:pt idx="12">
                  <c:v>12.353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6-4B0B-81E2-4C6A3B33F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133375"/>
        <c:axId val="1742130495"/>
      </c:scatterChart>
      <c:valAx>
        <c:axId val="1742133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130495"/>
        <c:crosses val="autoZero"/>
        <c:crossBetween val="midCat"/>
      </c:valAx>
      <c:valAx>
        <c:axId val="1742130495"/>
        <c:scaling>
          <c:logBase val="10"/>
          <c:orientation val="minMax"/>
          <c:min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133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0,25 Sun: </a:t>
            </a:r>
            <a:r>
              <a:rPr lang="en-US"/>
              <a:t> </a:t>
            </a:r>
            <a:r>
              <a:rPr lang="cs-CZ"/>
              <a:t>Isc</a:t>
            </a:r>
            <a:r>
              <a:rPr lang="cs-CZ" baseline="0"/>
              <a:t> </a:t>
            </a:r>
            <a:r>
              <a:rPr lang="en-US"/>
              <a:t>(mA)</a:t>
            </a:r>
          </a:p>
        </c:rich>
      </c:tx>
      <c:layout>
        <c:manualLayout>
          <c:xMode val="edge"/>
          <c:yMode val="edge"/>
          <c:x val="0.34952978919412603"/>
          <c:y val="3.50118498111106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List1!$C$24</c:f>
              <c:strCache>
                <c:ptCount val="1"/>
                <c:pt idx="0">
                  <c:v>Isc (mA)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List1!$B$25:$B$46</c:f>
              <c:numCache>
                <c:formatCode>General</c:formatCode>
                <c:ptCount val="22"/>
                <c:pt idx="0">
                  <c:v>4.6210000000000001E-2</c:v>
                </c:pt>
                <c:pt idx="1">
                  <c:v>9.0230000000000005E-2</c:v>
                </c:pt>
                <c:pt idx="2">
                  <c:v>0.22070000000000001</c:v>
                </c:pt>
                <c:pt idx="3">
                  <c:v>0.33550000000000002</c:v>
                </c:pt>
                <c:pt idx="4">
                  <c:v>0.45050000000000001</c:v>
                </c:pt>
                <c:pt idx="5">
                  <c:v>0.49034</c:v>
                </c:pt>
                <c:pt idx="6">
                  <c:v>0.50922000000000001</c:v>
                </c:pt>
                <c:pt idx="7">
                  <c:v>0.51202999999999999</c:v>
                </c:pt>
                <c:pt idx="8">
                  <c:v>0.38963999999999999</c:v>
                </c:pt>
                <c:pt idx="9">
                  <c:v>0.4284</c:v>
                </c:pt>
                <c:pt idx="10">
                  <c:v>0.47216999999999998</c:v>
                </c:pt>
                <c:pt idx="11">
                  <c:v>0.39887</c:v>
                </c:pt>
                <c:pt idx="12">
                  <c:v>0.40751999999999999</c:v>
                </c:pt>
                <c:pt idx="13">
                  <c:v>0.41538000000000003</c:v>
                </c:pt>
                <c:pt idx="14">
                  <c:v>0.42209000000000002</c:v>
                </c:pt>
                <c:pt idx="15">
                  <c:v>0.43289</c:v>
                </c:pt>
                <c:pt idx="16">
                  <c:v>0.37761</c:v>
                </c:pt>
                <c:pt idx="17">
                  <c:v>0.36514999999999997</c:v>
                </c:pt>
                <c:pt idx="18">
                  <c:v>0.35048000000000001</c:v>
                </c:pt>
                <c:pt idx="19">
                  <c:v>0.31845000000000001</c:v>
                </c:pt>
                <c:pt idx="20">
                  <c:v>0.26246000000000003</c:v>
                </c:pt>
                <c:pt idx="21">
                  <c:v>0.13444</c:v>
                </c:pt>
              </c:numCache>
            </c:numRef>
          </c:xVal>
          <c:yVal>
            <c:numRef>
              <c:f>List1!$C$25:$C$46</c:f>
              <c:numCache>
                <c:formatCode>General</c:formatCode>
                <c:ptCount val="22"/>
                <c:pt idx="0">
                  <c:v>2.3105000000000001E-2</c:v>
                </c:pt>
                <c:pt idx="1">
                  <c:v>2.2557500000000001E-2</c:v>
                </c:pt>
                <c:pt idx="2">
                  <c:v>2.2069999999999999E-2</c:v>
                </c:pt>
                <c:pt idx="3">
                  <c:v>2.0968750000000001E-2</c:v>
                </c:pt>
                <c:pt idx="4">
                  <c:v>1.5016666666666668E-2</c:v>
                </c:pt>
                <c:pt idx="5">
                  <c:v>8.1723333333333335E-3</c:v>
                </c:pt>
                <c:pt idx="6">
                  <c:v>4.2434999999999999E-3</c:v>
                </c:pt>
                <c:pt idx="7">
                  <c:v>2.2262173913043478E-3</c:v>
                </c:pt>
                <c:pt idx="8">
                  <c:v>1.9481999999999999E-2</c:v>
                </c:pt>
                <c:pt idx="9">
                  <c:v>1.7135999999999998E-2</c:v>
                </c:pt>
                <c:pt idx="10">
                  <c:v>1.1804249999999999E-2</c:v>
                </c:pt>
                <c:pt idx="11">
                  <c:v>1.8993809523809524E-2</c:v>
                </c:pt>
                <c:pt idx="12">
                  <c:v>1.8523636363636364E-2</c:v>
                </c:pt>
                <c:pt idx="13">
                  <c:v>1.806E-2</c:v>
                </c:pt>
                <c:pt idx="14">
                  <c:v>1.7587083333333333E-2</c:v>
                </c:pt>
                <c:pt idx="15">
                  <c:v>1.6649615384615384E-2</c:v>
                </c:pt>
                <c:pt idx="16">
                  <c:v>1.9874210526315789E-2</c:v>
                </c:pt>
                <c:pt idx="17">
                  <c:v>2.0286111111111109E-2</c:v>
                </c:pt>
                <c:pt idx="18">
                  <c:v>2.0616470588235295E-2</c:v>
                </c:pt>
                <c:pt idx="19">
                  <c:v>2.1230000000000002E-2</c:v>
                </c:pt>
                <c:pt idx="20">
                  <c:v>2.1871666666666668E-2</c:v>
                </c:pt>
                <c:pt idx="21">
                  <c:v>2.2406666666666668E-2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7A-4C63-844C-0C5C5013A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157375"/>
        <c:axId val="1742171295"/>
      </c:scatterChart>
      <c:valAx>
        <c:axId val="174215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171295"/>
        <c:crosses val="autoZero"/>
        <c:crossBetween val="midCat"/>
      </c:valAx>
      <c:valAx>
        <c:axId val="174217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15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0,25 Sun</a:t>
            </a:r>
            <a:r>
              <a:rPr lang="cs-CZ" baseline="0"/>
              <a:t>: </a:t>
            </a:r>
            <a:r>
              <a:rPr lang="en-US"/>
              <a:t>P (microW)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List1!$D$24</c:f>
              <c:strCache>
                <c:ptCount val="1"/>
                <c:pt idx="0">
                  <c:v>P (microW)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List1!$B$25:$B$46</c:f>
              <c:numCache>
                <c:formatCode>General</c:formatCode>
                <c:ptCount val="22"/>
                <c:pt idx="0">
                  <c:v>4.6210000000000001E-2</c:v>
                </c:pt>
                <c:pt idx="1">
                  <c:v>9.0230000000000005E-2</c:v>
                </c:pt>
                <c:pt idx="2">
                  <c:v>0.22070000000000001</c:v>
                </c:pt>
                <c:pt idx="3">
                  <c:v>0.33550000000000002</c:v>
                </c:pt>
                <c:pt idx="4">
                  <c:v>0.45050000000000001</c:v>
                </c:pt>
                <c:pt idx="5">
                  <c:v>0.49034</c:v>
                </c:pt>
                <c:pt idx="6">
                  <c:v>0.50922000000000001</c:v>
                </c:pt>
                <c:pt idx="7">
                  <c:v>0.51202999999999999</c:v>
                </c:pt>
                <c:pt idx="8">
                  <c:v>0.38963999999999999</c:v>
                </c:pt>
                <c:pt idx="9">
                  <c:v>0.4284</c:v>
                </c:pt>
                <c:pt idx="10">
                  <c:v>0.47216999999999998</c:v>
                </c:pt>
                <c:pt idx="11">
                  <c:v>0.39887</c:v>
                </c:pt>
                <c:pt idx="12">
                  <c:v>0.40751999999999999</c:v>
                </c:pt>
                <c:pt idx="13">
                  <c:v>0.41538000000000003</c:v>
                </c:pt>
                <c:pt idx="14">
                  <c:v>0.42209000000000002</c:v>
                </c:pt>
                <c:pt idx="15">
                  <c:v>0.43289</c:v>
                </c:pt>
                <c:pt idx="16">
                  <c:v>0.37761</c:v>
                </c:pt>
                <c:pt idx="17">
                  <c:v>0.36514999999999997</c:v>
                </c:pt>
                <c:pt idx="18">
                  <c:v>0.35048000000000001</c:v>
                </c:pt>
                <c:pt idx="19">
                  <c:v>0.31845000000000001</c:v>
                </c:pt>
                <c:pt idx="20">
                  <c:v>0.26246000000000003</c:v>
                </c:pt>
                <c:pt idx="21">
                  <c:v>0.13444</c:v>
                </c:pt>
              </c:numCache>
            </c:numRef>
          </c:xVal>
          <c:yVal>
            <c:numRef>
              <c:f>List1!$D$25:$D$46</c:f>
              <c:numCache>
                <c:formatCode>General</c:formatCode>
                <c:ptCount val="22"/>
                <c:pt idx="0">
                  <c:v>1.0676820500000002</c:v>
                </c:pt>
                <c:pt idx="1">
                  <c:v>2.0353632250000002</c:v>
                </c:pt>
                <c:pt idx="2">
                  <c:v>4.8708489999999998</c:v>
                </c:pt>
                <c:pt idx="3">
                  <c:v>7.0350156250000007</c:v>
                </c:pt>
                <c:pt idx="4">
                  <c:v>6.7650083333333342</c:v>
                </c:pt>
                <c:pt idx="5">
                  <c:v>4.0072219266666673</c:v>
                </c:pt>
                <c:pt idx="6">
                  <c:v>2.1608750699999999</c:v>
                </c:pt>
                <c:pt idx="7">
                  <c:v>1.1398900908695651</c:v>
                </c:pt>
                <c:pt idx="8">
                  <c:v>7.5909664799999987</c:v>
                </c:pt>
                <c:pt idx="9">
                  <c:v>7.3410623999999993</c:v>
                </c:pt>
                <c:pt idx="10">
                  <c:v>5.5736127224999992</c:v>
                </c:pt>
                <c:pt idx="11">
                  <c:v>7.5760608047619042</c:v>
                </c:pt>
                <c:pt idx="12">
                  <c:v>7.5487522909090909</c:v>
                </c:pt>
                <c:pt idx="13">
                  <c:v>7.5017628000000007</c:v>
                </c:pt>
                <c:pt idx="14">
                  <c:v>7.4233320041666664</c:v>
                </c:pt>
                <c:pt idx="15">
                  <c:v>7.2074520038461536</c:v>
                </c:pt>
                <c:pt idx="16">
                  <c:v>7.5047006368421059</c:v>
                </c:pt>
                <c:pt idx="17">
                  <c:v>7.4074734722222209</c:v>
                </c:pt>
                <c:pt idx="18">
                  <c:v>7.2256606117647069</c:v>
                </c:pt>
                <c:pt idx="19">
                  <c:v>6.7606935000000012</c:v>
                </c:pt>
                <c:pt idx="20">
                  <c:v>5.7404376333333342</c:v>
                </c:pt>
                <c:pt idx="21">
                  <c:v>3.0123522666666669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52-49A5-928E-489813941B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081535"/>
        <c:axId val="1742088735"/>
      </c:scatterChart>
      <c:valAx>
        <c:axId val="1742081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088735"/>
        <c:crosses val="autoZero"/>
        <c:crossBetween val="midCat"/>
      </c:valAx>
      <c:valAx>
        <c:axId val="1742088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081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0,5</a:t>
            </a:r>
            <a:r>
              <a:rPr lang="cs-CZ" baseline="0"/>
              <a:t> Sun: Isc</a:t>
            </a:r>
            <a:r>
              <a:rPr lang="en-US"/>
              <a:t> 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List1!$L$3</c:f>
              <c:strCache>
                <c:ptCount val="1"/>
                <c:pt idx="0">
                  <c:v>Isc (mA)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List1!$K$4:$K$23</c:f>
              <c:numCache>
                <c:formatCode>General</c:formatCode>
                <c:ptCount val="20"/>
                <c:pt idx="0">
                  <c:v>5.1220000000000002E-2</c:v>
                </c:pt>
                <c:pt idx="1">
                  <c:v>9.8132999999999998E-2</c:v>
                </c:pt>
                <c:pt idx="2">
                  <c:v>0.19148999999999999</c:v>
                </c:pt>
                <c:pt idx="3">
                  <c:v>0.27938000000000002</c:v>
                </c:pt>
                <c:pt idx="4">
                  <c:v>0.35132999999999998</c:v>
                </c:pt>
                <c:pt idx="5">
                  <c:v>0.37807000000000002</c:v>
                </c:pt>
                <c:pt idx="6">
                  <c:v>0.39977000000000001</c:v>
                </c:pt>
                <c:pt idx="7">
                  <c:v>0.41739999999999999</c:v>
                </c:pt>
                <c:pt idx="8">
                  <c:v>0.43034</c:v>
                </c:pt>
                <c:pt idx="9">
                  <c:v>0.44107000000000002</c:v>
                </c:pt>
                <c:pt idx="10">
                  <c:v>0.4501</c:v>
                </c:pt>
                <c:pt idx="11">
                  <c:v>0.45732</c:v>
                </c:pt>
                <c:pt idx="12">
                  <c:v>0.48158000000000001</c:v>
                </c:pt>
                <c:pt idx="13">
                  <c:v>0.4945</c:v>
                </c:pt>
                <c:pt idx="14">
                  <c:v>0.50854999999999995</c:v>
                </c:pt>
                <c:pt idx="15">
                  <c:v>0.51561999999999997</c:v>
                </c:pt>
                <c:pt idx="16">
                  <c:v>0.46872999999999998</c:v>
                </c:pt>
                <c:pt idx="17">
                  <c:v>0.31849</c:v>
                </c:pt>
                <c:pt idx="18">
                  <c:v>0.52002000000000004</c:v>
                </c:pt>
                <c:pt idx="19">
                  <c:v>0.52327000000000001</c:v>
                </c:pt>
              </c:numCache>
            </c:numRef>
          </c:xVal>
          <c:yVal>
            <c:numRef>
              <c:f>List1!$L$4:$L$23</c:f>
              <c:numCache>
                <c:formatCode>General</c:formatCode>
                <c:ptCount val="20"/>
                <c:pt idx="0">
                  <c:v>5.1220000000000002E-2</c:v>
                </c:pt>
                <c:pt idx="1">
                  <c:v>4.9066499999999999E-2</c:v>
                </c:pt>
                <c:pt idx="2">
                  <c:v>4.7872499999999998E-2</c:v>
                </c:pt>
                <c:pt idx="3">
                  <c:v>4.6563333333333339E-2</c:v>
                </c:pt>
                <c:pt idx="4">
                  <c:v>4.3916249999999997E-2</c:v>
                </c:pt>
                <c:pt idx="5">
                  <c:v>4.2007777777777783E-2</c:v>
                </c:pt>
                <c:pt idx="6">
                  <c:v>3.9976999999999999E-2</c:v>
                </c:pt>
                <c:pt idx="7">
                  <c:v>3.7945454545454546E-2</c:v>
                </c:pt>
                <c:pt idx="8">
                  <c:v>3.5861666666666667E-2</c:v>
                </c:pt>
                <c:pt idx="9">
                  <c:v>3.3928461538461539E-2</c:v>
                </c:pt>
                <c:pt idx="10">
                  <c:v>3.2149999999999998E-2</c:v>
                </c:pt>
                <c:pt idx="11">
                  <c:v>3.0488000000000001E-2</c:v>
                </c:pt>
                <c:pt idx="12">
                  <c:v>2.4079E-2</c:v>
                </c:pt>
                <c:pt idx="13">
                  <c:v>1.9779999999999999E-2</c:v>
                </c:pt>
                <c:pt idx="14">
                  <c:v>1.4529999999999998E-2</c:v>
                </c:pt>
                <c:pt idx="15">
                  <c:v>1.1458222222222222E-2</c:v>
                </c:pt>
                <c:pt idx="16">
                  <c:v>2.7572352941176468E-2</c:v>
                </c:pt>
                <c:pt idx="17">
                  <c:v>4.549857142857143E-2</c:v>
                </c:pt>
                <c:pt idx="18">
                  <c:v>9.4549090909090919E-3</c:v>
                </c:pt>
                <c:pt idx="19">
                  <c:v>8.0503076923076917E-3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856-4F01-8999-C3040FA41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064255"/>
        <c:axId val="1742047935"/>
      </c:scatterChart>
      <c:valAx>
        <c:axId val="1742064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047935"/>
        <c:crosses val="autoZero"/>
        <c:crossBetween val="midCat"/>
      </c:valAx>
      <c:valAx>
        <c:axId val="174204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064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0.5 Sun: </a:t>
            </a:r>
            <a:r>
              <a:rPr lang="en-US"/>
              <a:t>P (microW)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List1!$M$3</c:f>
              <c:strCache>
                <c:ptCount val="1"/>
                <c:pt idx="0">
                  <c:v>P (microW)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List1!$K$4:$K$23</c:f>
              <c:numCache>
                <c:formatCode>General</c:formatCode>
                <c:ptCount val="20"/>
                <c:pt idx="0">
                  <c:v>5.1220000000000002E-2</c:v>
                </c:pt>
                <c:pt idx="1">
                  <c:v>9.8132999999999998E-2</c:v>
                </c:pt>
                <c:pt idx="2">
                  <c:v>0.19148999999999999</c:v>
                </c:pt>
                <c:pt idx="3">
                  <c:v>0.27938000000000002</c:v>
                </c:pt>
                <c:pt idx="4">
                  <c:v>0.35132999999999998</c:v>
                </c:pt>
                <c:pt idx="5">
                  <c:v>0.37807000000000002</c:v>
                </c:pt>
                <c:pt idx="6">
                  <c:v>0.39977000000000001</c:v>
                </c:pt>
                <c:pt idx="7">
                  <c:v>0.41739999999999999</c:v>
                </c:pt>
                <c:pt idx="8">
                  <c:v>0.43034</c:v>
                </c:pt>
                <c:pt idx="9">
                  <c:v>0.44107000000000002</c:v>
                </c:pt>
                <c:pt idx="10">
                  <c:v>0.4501</c:v>
                </c:pt>
                <c:pt idx="11">
                  <c:v>0.45732</c:v>
                </c:pt>
                <c:pt idx="12">
                  <c:v>0.48158000000000001</c:v>
                </c:pt>
                <c:pt idx="13">
                  <c:v>0.4945</c:v>
                </c:pt>
                <c:pt idx="14">
                  <c:v>0.50854999999999995</c:v>
                </c:pt>
                <c:pt idx="15">
                  <c:v>0.51561999999999997</c:v>
                </c:pt>
                <c:pt idx="16">
                  <c:v>0.46872999999999998</c:v>
                </c:pt>
                <c:pt idx="17">
                  <c:v>0.31849</c:v>
                </c:pt>
                <c:pt idx="18">
                  <c:v>0.52002000000000004</c:v>
                </c:pt>
                <c:pt idx="19">
                  <c:v>0.52327000000000001</c:v>
                </c:pt>
              </c:numCache>
            </c:numRef>
          </c:xVal>
          <c:yVal>
            <c:numRef>
              <c:f>List1!$M$4:$M$23</c:f>
              <c:numCache>
                <c:formatCode>General</c:formatCode>
                <c:ptCount val="20"/>
                <c:pt idx="0">
                  <c:v>2.6234884000000003</c:v>
                </c:pt>
                <c:pt idx="1">
                  <c:v>4.8150428444999998</c:v>
                </c:pt>
                <c:pt idx="2">
                  <c:v>9.1671050249999979</c:v>
                </c:pt>
                <c:pt idx="3">
                  <c:v>13.00886406666667</c:v>
                </c:pt>
                <c:pt idx="4">
                  <c:v>15.429096112499998</c:v>
                </c:pt>
                <c:pt idx="5">
                  <c:v>15.881880544444446</c:v>
                </c:pt>
                <c:pt idx="6">
                  <c:v>15.981605289999999</c:v>
                </c:pt>
                <c:pt idx="7">
                  <c:v>15.838432727272728</c:v>
                </c:pt>
                <c:pt idx="8">
                  <c:v>15.432709633333333</c:v>
                </c:pt>
                <c:pt idx="9">
                  <c:v>14.964826530769232</c:v>
                </c:pt>
                <c:pt idx="10">
                  <c:v>14.470714999999998</c:v>
                </c:pt>
                <c:pt idx="11">
                  <c:v>13.942772160000001</c:v>
                </c:pt>
                <c:pt idx="12">
                  <c:v>11.595964820000001</c:v>
                </c:pt>
                <c:pt idx="13">
                  <c:v>9.7812099999999997</c:v>
                </c:pt>
                <c:pt idx="14">
                  <c:v>7.3892314999999984</c:v>
                </c:pt>
                <c:pt idx="15">
                  <c:v>5.908088542222222</c:v>
                </c:pt>
                <c:pt idx="16">
                  <c:v>12.923988994117645</c:v>
                </c:pt>
                <c:pt idx="17">
                  <c:v>14.490840014285714</c:v>
                </c:pt>
                <c:pt idx="18">
                  <c:v>4.9167418254545465</c:v>
                </c:pt>
                <c:pt idx="19">
                  <c:v>4.2124845061538458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2E-47F8-B170-82A6E74F3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100255"/>
        <c:axId val="1742104095"/>
      </c:scatterChart>
      <c:valAx>
        <c:axId val="174210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104095"/>
        <c:crosses val="autoZero"/>
        <c:crossBetween val="midCat"/>
      </c:valAx>
      <c:valAx>
        <c:axId val="1742104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100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1,0 Sun: </a:t>
            </a:r>
            <a:r>
              <a:rPr lang="en-US"/>
              <a:t>I</a:t>
            </a:r>
            <a:r>
              <a:rPr lang="cs-CZ"/>
              <a:t>sc</a:t>
            </a:r>
            <a:r>
              <a:rPr lang="en-US"/>
              <a:t> (mA)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List1!$Q$3</c:f>
              <c:strCache>
                <c:ptCount val="1"/>
                <c:pt idx="0">
                  <c:v>Isc (mA)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List1!$P$4:$P$21</c:f>
              <c:numCache>
                <c:formatCode>General</c:formatCode>
                <c:ptCount val="18"/>
                <c:pt idx="0">
                  <c:v>0.1086</c:v>
                </c:pt>
                <c:pt idx="1">
                  <c:v>0.19603999999999999</c:v>
                </c:pt>
                <c:pt idx="2">
                  <c:v>0.27012999999999998</c:v>
                </c:pt>
                <c:pt idx="3">
                  <c:v>0.33095000000000002</c:v>
                </c:pt>
                <c:pt idx="4">
                  <c:v>0.37574999999999997</c:v>
                </c:pt>
                <c:pt idx="5">
                  <c:v>0.40727999999999998</c:v>
                </c:pt>
                <c:pt idx="6">
                  <c:v>0.43013000000000001</c:v>
                </c:pt>
                <c:pt idx="7">
                  <c:v>0.44689000000000001</c:v>
                </c:pt>
                <c:pt idx="8">
                  <c:v>0.45928000000000002</c:v>
                </c:pt>
                <c:pt idx="9">
                  <c:v>0.46959000000000001</c:v>
                </c:pt>
                <c:pt idx="10">
                  <c:v>0.47756999999999999</c:v>
                </c:pt>
                <c:pt idx="11">
                  <c:v>0.49839</c:v>
                </c:pt>
                <c:pt idx="12">
                  <c:v>0.51204000000000005</c:v>
                </c:pt>
                <c:pt idx="13">
                  <c:v>0.52029000000000003</c:v>
                </c:pt>
                <c:pt idx="14">
                  <c:v>0.52566000000000002</c:v>
                </c:pt>
                <c:pt idx="15">
                  <c:v>0.53242</c:v>
                </c:pt>
                <c:pt idx="16">
                  <c:v>0.53644000000000003</c:v>
                </c:pt>
                <c:pt idx="17">
                  <c:v>0.53861000000000003</c:v>
                </c:pt>
              </c:numCache>
            </c:numRef>
          </c:xVal>
          <c:yVal>
            <c:numRef>
              <c:f>List1!$Q$4:$Q$21</c:f>
              <c:numCache>
                <c:formatCode>General</c:formatCode>
                <c:ptCount val="18"/>
                <c:pt idx="0">
                  <c:v>0.1086</c:v>
                </c:pt>
                <c:pt idx="1">
                  <c:v>9.8019999999999996E-2</c:v>
                </c:pt>
                <c:pt idx="2">
                  <c:v>9.0043333333333322E-2</c:v>
                </c:pt>
                <c:pt idx="3">
                  <c:v>8.2737500000000005E-2</c:v>
                </c:pt>
                <c:pt idx="4">
                  <c:v>7.5149999999999995E-2</c:v>
                </c:pt>
                <c:pt idx="5">
                  <c:v>6.7879999999999996E-2</c:v>
                </c:pt>
                <c:pt idx="6">
                  <c:v>6.144714285714286E-2</c:v>
                </c:pt>
                <c:pt idx="7">
                  <c:v>5.5861250000000001E-2</c:v>
                </c:pt>
                <c:pt idx="8">
                  <c:v>5.103111111111111E-2</c:v>
                </c:pt>
                <c:pt idx="9">
                  <c:v>4.6959000000000001E-2</c:v>
                </c:pt>
                <c:pt idx="10">
                  <c:v>4.3415454545454542E-2</c:v>
                </c:pt>
                <c:pt idx="11">
                  <c:v>3.3225999999999999E-2</c:v>
                </c:pt>
                <c:pt idx="12">
                  <c:v>2.5602000000000003E-2</c:v>
                </c:pt>
                <c:pt idx="13">
                  <c:v>2.08116E-2</c:v>
                </c:pt>
                <c:pt idx="14">
                  <c:v>1.7521999999999999E-2</c:v>
                </c:pt>
                <c:pt idx="15">
                  <c:v>1.3310499999999999E-2</c:v>
                </c:pt>
                <c:pt idx="16">
                  <c:v>1.07288E-2</c:v>
                </c:pt>
                <c:pt idx="17">
                  <c:v>8.9768333333333332E-3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776-43FD-AC4A-84AC74C56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055135"/>
        <c:axId val="1742045055"/>
      </c:scatterChart>
      <c:valAx>
        <c:axId val="174205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045055"/>
        <c:crosses val="autoZero"/>
        <c:crossBetween val="midCat"/>
      </c:valAx>
      <c:valAx>
        <c:axId val="174204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0551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1,0</a:t>
            </a:r>
            <a:r>
              <a:rPr lang="cs-CZ" baseline="0"/>
              <a:t> Sun: </a:t>
            </a:r>
            <a:r>
              <a:rPr lang="en-US"/>
              <a:t>P (microW)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List1!$R$3</c:f>
              <c:strCache>
                <c:ptCount val="1"/>
                <c:pt idx="0">
                  <c:v>P (microW)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List1!$P$4:$P$21</c:f>
              <c:numCache>
                <c:formatCode>General</c:formatCode>
                <c:ptCount val="18"/>
                <c:pt idx="0">
                  <c:v>0.1086</c:v>
                </c:pt>
                <c:pt idx="1">
                  <c:v>0.19603999999999999</c:v>
                </c:pt>
                <c:pt idx="2">
                  <c:v>0.27012999999999998</c:v>
                </c:pt>
                <c:pt idx="3">
                  <c:v>0.33095000000000002</c:v>
                </c:pt>
                <c:pt idx="4">
                  <c:v>0.37574999999999997</c:v>
                </c:pt>
                <c:pt idx="5">
                  <c:v>0.40727999999999998</c:v>
                </c:pt>
                <c:pt idx="6">
                  <c:v>0.43013000000000001</c:v>
                </c:pt>
                <c:pt idx="7">
                  <c:v>0.44689000000000001</c:v>
                </c:pt>
                <c:pt idx="8">
                  <c:v>0.45928000000000002</c:v>
                </c:pt>
                <c:pt idx="9">
                  <c:v>0.46959000000000001</c:v>
                </c:pt>
                <c:pt idx="10">
                  <c:v>0.47756999999999999</c:v>
                </c:pt>
                <c:pt idx="11">
                  <c:v>0.49839</c:v>
                </c:pt>
                <c:pt idx="12">
                  <c:v>0.51204000000000005</c:v>
                </c:pt>
                <c:pt idx="13">
                  <c:v>0.52029000000000003</c:v>
                </c:pt>
                <c:pt idx="14">
                  <c:v>0.52566000000000002</c:v>
                </c:pt>
                <c:pt idx="15">
                  <c:v>0.53242</c:v>
                </c:pt>
                <c:pt idx="16">
                  <c:v>0.53644000000000003</c:v>
                </c:pt>
                <c:pt idx="17">
                  <c:v>0.53861000000000003</c:v>
                </c:pt>
              </c:numCache>
            </c:numRef>
          </c:xVal>
          <c:yVal>
            <c:numRef>
              <c:f>List1!$R$4:$R$21</c:f>
              <c:numCache>
                <c:formatCode>General</c:formatCode>
                <c:ptCount val="18"/>
                <c:pt idx="0">
                  <c:v>11.79396</c:v>
                </c:pt>
                <c:pt idx="1">
                  <c:v>19.215840799999999</c:v>
                </c:pt>
                <c:pt idx="2">
                  <c:v>24.32340563333333</c:v>
                </c:pt>
                <c:pt idx="3">
                  <c:v>27.381975625000003</c:v>
                </c:pt>
                <c:pt idx="4">
                  <c:v>28.237612499999994</c:v>
                </c:pt>
                <c:pt idx="5">
                  <c:v>27.646166399999998</c:v>
                </c:pt>
                <c:pt idx="6">
                  <c:v>26.430259557142861</c:v>
                </c:pt>
                <c:pt idx="7">
                  <c:v>24.963834012500001</c:v>
                </c:pt>
                <c:pt idx="8">
                  <c:v>23.437568711111112</c:v>
                </c:pt>
                <c:pt idx="9">
                  <c:v>22.05147681</c:v>
                </c:pt>
                <c:pt idx="10">
                  <c:v>20.733918627272725</c:v>
                </c:pt>
                <c:pt idx="11">
                  <c:v>16.55950614</c:v>
                </c:pt>
                <c:pt idx="12">
                  <c:v>13.109248080000004</c:v>
                </c:pt>
                <c:pt idx="13">
                  <c:v>10.828067364000001</c:v>
                </c:pt>
                <c:pt idx="14">
                  <c:v>9.21061452</c:v>
                </c:pt>
                <c:pt idx="15">
                  <c:v>7.0867764099999997</c:v>
                </c:pt>
                <c:pt idx="16">
                  <c:v>5.7553574720000009</c:v>
                </c:pt>
                <c:pt idx="17">
                  <c:v>4.8350122016666663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6-464E-B390-88A0E229A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056575"/>
        <c:axId val="1742048895"/>
      </c:scatterChart>
      <c:valAx>
        <c:axId val="17420565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048895"/>
        <c:crosses val="autoZero"/>
        <c:crossBetween val="midCat"/>
      </c:valAx>
      <c:valAx>
        <c:axId val="1742048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056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List1!$H$25</c:f>
              <c:strCache>
                <c:ptCount val="1"/>
                <c:pt idx="0">
                  <c:v>Isc (microA)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List1!$G$26:$G$32</c:f>
              <c:numCache>
                <c:formatCode>General</c:formatCode>
                <c:ptCount val="7"/>
                <c:pt idx="0">
                  <c:v>1.1439999999999999</c:v>
                </c:pt>
                <c:pt idx="1">
                  <c:v>13.48</c:v>
                </c:pt>
                <c:pt idx="2">
                  <c:v>37.83</c:v>
                </c:pt>
                <c:pt idx="3">
                  <c:v>59.2</c:v>
                </c:pt>
                <c:pt idx="4">
                  <c:v>73.33</c:v>
                </c:pt>
                <c:pt idx="5">
                  <c:v>84.35</c:v>
                </c:pt>
                <c:pt idx="6">
                  <c:v>97.78</c:v>
                </c:pt>
              </c:numCache>
            </c:numRef>
          </c:xVal>
          <c:yVal>
            <c:numRef>
              <c:f>List1!$H$26:$H$32</c:f>
              <c:numCache>
                <c:formatCode>General</c:formatCode>
                <c:ptCount val="7"/>
                <c:pt idx="0">
                  <c:v>0.10199999999999999</c:v>
                </c:pt>
                <c:pt idx="1">
                  <c:v>1.22</c:v>
                </c:pt>
                <c:pt idx="2">
                  <c:v>3.84</c:v>
                </c:pt>
                <c:pt idx="3">
                  <c:v>6.6849999999999996</c:v>
                </c:pt>
                <c:pt idx="4">
                  <c:v>9.077</c:v>
                </c:pt>
                <c:pt idx="5">
                  <c:v>10.946</c:v>
                </c:pt>
                <c:pt idx="6">
                  <c:v>13.98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23-4946-99D2-20CA189D18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2085375"/>
        <c:axId val="1742092095"/>
      </c:scatterChart>
      <c:valAx>
        <c:axId val="174208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092095"/>
        <c:crosses val="autoZero"/>
        <c:crossBetween val="midCat"/>
      </c:valAx>
      <c:valAx>
        <c:axId val="1742092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742085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414616</xdr:colOff>
      <xdr:row>31</xdr:row>
      <xdr:rowOff>102422</xdr:rowOff>
    </xdr:from>
    <xdr:to>
      <xdr:col>36</xdr:col>
      <xdr:colOff>383240</xdr:colOff>
      <xdr:row>46</xdr:row>
      <xdr:rowOff>102423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5825EEE2-C500-5F69-8706-B530542C44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450477</xdr:colOff>
      <xdr:row>23</xdr:row>
      <xdr:rowOff>19948</xdr:rowOff>
    </xdr:from>
    <xdr:to>
      <xdr:col>18</xdr:col>
      <xdr:colOff>430306</xdr:colOff>
      <xdr:row>35</xdr:row>
      <xdr:rowOff>44825</xdr:rowOff>
    </xdr:to>
    <xdr:graphicFrame macro="">
      <xdr:nvGraphicFramePr>
        <xdr:cNvPr id="6" name="Graf 5">
          <a:extLst>
            <a:ext uri="{FF2B5EF4-FFF2-40B4-BE49-F238E27FC236}">
              <a16:creationId xmlns:a16="http://schemas.microsoft.com/office/drawing/2014/main" id="{F16C9221-D448-4F06-4678-74DB9510C5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489922</xdr:colOff>
      <xdr:row>34</xdr:row>
      <xdr:rowOff>156882</xdr:rowOff>
    </xdr:from>
    <xdr:to>
      <xdr:col>17</xdr:col>
      <xdr:colOff>442857</xdr:colOff>
      <xdr:row>46</xdr:row>
      <xdr:rowOff>115420</xdr:rowOff>
    </xdr:to>
    <xdr:graphicFrame macro="">
      <xdr:nvGraphicFramePr>
        <xdr:cNvPr id="8" name="Graf 7">
          <a:extLst>
            <a:ext uri="{FF2B5EF4-FFF2-40B4-BE49-F238E27FC236}">
              <a16:creationId xmlns:a16="http://schemas.microsoft.com/office/drawing/2014/main" id="{0EEB3B1E-7DE5-9BAB-20C6-A0EF1F607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239358</xdr:colOff>
      <xdr:row>0</xdr:row>
      <xdr:rowOff>60288</xdr:rowOff>
    </xdr:from>
    <xdr:to>
      <xdr:col>26</xdr:col>
      <xdr:colOff>0</xdr:colOff>
      <xdr:row>11</xdr:row>
      <xdr:rowOff>156883</xdr:rowOff>
    </xdr:to>
    <xdr:graphicFrame macro="">
      <xdr:nvGraphicFramePr>
        <xdr:cNvPr id="9" name="Graf 8">
          <a:extLst>
            <a:ext uri="{FF2B5EF4-FFF2-40B4-BE49-F238E27FC236}">
              <a16:creationId xmlns:a16="http://schemas.microsoft.com/office/drawing/2014/main" id="{E0276FFF-9B45-648E-F147-AFF5B84370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260424</xdr:colOff>
      <xdr:row>12</xdr:row>
      <xdr:rowOff>78440</xdr:rowOff>
    </xdr:from>
    <xdr:to>
      <xdr:col>26</xdr:col>
      <xdr:colOff>340209</xdr:colOff>
      <xdr:row>25</xdr:row>
      <xdr:rowOff>149933</xdr:rowOff>
    </xdr:to>
    <xdr:graphicFrame macro="">
      <xdr:nvGraphicFramePr>
        <xdr:cNvPr id="10" name="Graf 9">
          <a:extLst>
            <a:ext uri="{FF2B5EF4-FFF2-40B4-BE49-F238E27FC236}">
              <a16:creationId xmlns:a16="http://schemas.microsoft.com/office/drawing/2014/main" id="{311070F8-8F7B-5045-3593-F7C3386554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249219</xdr:colOff>
      <xdr:row>26</xdr:row>
      <xdr:rowOff>125282</xdr:rowOff>
    </xdr:from>
    <xdr:to>
      <xdr:col>26</xdr:col>
      <xdr:colOff>549536</xdr:colOff>
      <xdr:row>40</xdr:row>
      <xdr:rowOff>112059</xdr:rowOff>
    </xdr:to>
    <xdr:graphicFrame macro="">
      <xdr:nvGraphicFramePr>
        <xdr:cNvPr id="11" name="Graf 10">
          <a:extLst>
            <a:ext uri="{FF2B5EF4-FFF2-40B4-BE49-F238E27FC236}">
              <a16:creationId xmlns:a16="http://schemas.microsoft.com/office/drawing/2014/main" id="{188E83AE-6533-223A-EFFC-D4C2088E4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332141</xdr:colOff>
      <xdr:row>0</xdr:row>
      <xdr:rowOff>53564</xdr:rowOff>
    </xdr:from>
    <xdr:to>
      <xdr:col>36</xdr:col>
      <xdr:colOff>27342</xdr:colOff>
      <xdr:row>15</xdr:row>
      <xdr:rowOff>53563</xdr:rowOff>
    </xdr:to>
    <xdr:graphicFrame macro="">
      <xdr:nvGraphicFramePr>
        <xdr:cNvPr id="12" name="Graf 11">
          <a:extLst>
            <a:ext uri="{FF2B5EF4-FFF2-40B4-BE49-F238E27FC236}">
              <a16:creationId xmlns:a16="http://schemas.microsoft.com/office/drawing/2014/main" id="{9BD5C0BE-2EAB-F7E5-F86F-7CC23E001E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515022</xdr:colOff>
      <xdr:row>16</xdr:row>
      <xdr:rowOff>57151</xdr:rowOff>
    </xdr:from>
    <xdr:to>
      <xdr:col>35</xdr:col>
      <xdr:colOff>584499</xdr:colOff>
      <xdr:row>31</xdr:row>
      <xdr:rowOff>57151</xdr:rowOff>
    </xdr:to>
    <xdr:graphicFrame macro="">
      <xdr:nvGraphicFramePr>
        <xdr:cNvPr id="13" name="Graf 12">
          <a:extLst>
            <a:ext uri="{FF2B5EF4-FFF2-40B4-BE49-F238E27FC236}">
              <a16:creationId xmlns:a16="http://schemas.microsoft.com/office/drawing/2014/main" id="{D44D99A4-88BA-97F3-5D36-BE389367E3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8B240-44C5-4490-B955-C0BB51FDC244}">
  <dimension ref="A2:S46"/>
  <sheetViews>
    <sheetView tabSelected="1" zoomScale="68" zoomScaleNormal="68" workbookViewId="0">
      <selection activeCell="J32" sqref="J32"/>
    </sheetView>
  </sheetViews>
  <sheetFormatPr defaultRowHeight="14.4" x14ac:dyDescent="0.3"/>
  <cols>
    <col min="4" max="4" width="11.6640625" customWidth="1"/>
    <col min="5" max="5" width="13.6640625" bestFit="1" customWidth="1"/>
    <col min="6" max="6" width="9.88671875" customWidth="1"/>
    <col min="10" max="10" width="10.33203125" customWidth="1"/>
    <col min="11" max="11" width="8.6640625" customWidth="1"/>
    <col min="12" max="12" width="8.33203125" customWidth="1"/>
    <col min="14" max="14" width="12.33203125" customWidth="1"/>
  </cols>
  <sheetData>
    <row r="2" spans="1:1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J2" t="s">
        <v>6</v>
      </c>
      <c r="O2" t="s">
        <v>7</v>
      </c>
    </row>
    <row r="3" spans="1:19" x14ac:dyDescent="0.3">
      <c r="A3">
        <v>0.1</v>
      </c>
      <c r="B3">
        <v>0.47949999999999998</v>
      </c>
      <c r="C3">
        <v>7.65</v>
      </c>
      <c r="D3">
        <f>(1.5*B3+2*0.3)/10000</f>
        <v>1.3192499999999997E-4</v>
      </c>
      <c r="E3">
        <f>(4*C3+2*20)/10000</f>
        <v>7.0599999999999994E-3</v>
      </c>
      <c r="J3" t="s">
        <v>14</v>
      </c>
      <c r="K3" t="s">
        <v>1</v>
      </c>
      <c r="L3" t="s">
        <v>2</v>
      </c>
      <c r="M3" t="s">
        <v>15</v>
      </c>
      <c r="N3" t="s">
        <v>3</v>
      </c>
      <c r="O3" t="s">
        <v>14</v>
      </c>
      <c r="P3" t="s">
        <v>1</v>
      </c>
      <c r="Q3" t="s">
        <v>2</v>
      </c>
      <c r="R3" t="s">
        <v>15</v>
      </c>
      <c r="S3" t="s">
        <v>3</v>
      </c>
    </row>
    <row r="4" spans="1:19" x14ac:dyDescent="0.3">
      <c r="A4">
        <v>0.2</v>
      </c>
      <c r="B4">
        <v>0.51100000000000001</v>
      </c>
      <c r="C4">
        <v>17.25</v>
      </c>
      <c r="D4">
        <f t="shared" ref="D4:D15" si="0">(1.5*B4+2*0.3)/10000</f>
        <v>1.3664999999999999E-4</v>
      </c>
      <c r="E4">
        <f t="shared" ref="E4:E15" si="1">(4*C4+2*20)/10000</f>
        <v>1.09E-2</v>
      </c>
      <c r="J4">
        <v>1</v>
      </c>
      <c r="K4">
        <v>5.1220000000000002E-2</v>
      </c>
      <c r="L4">
        <f>K4/J4</f>
        <v>5.1220000000000002E-2</v>
      </c>
      <c r="M4">
        <f>L4*K4*1000</f>
        <v>2.6234884000000003</v>
      </c>
      <c r="N4">
        <f>(1.5*K4+0.4*0.2)/10000</f>
        <v>1.5683000000000002E-5</v>
      </c>
      <c r="O4">
        <v>1</v>
      </c>
      <c r="P4">
        <v>0.1086</v>
      </c>
      <c r="Q4">
        <f>P4/O4</f>
        <v>0.1086</v>
      </c>
      <c r="R4">
        <f>Q4*P4*1000</f>
        <v>11.79396</v>
      </c>
      <c r="S4">
        <f>(1.5*P4+0.4*0.2)/10000</f>
        <v>2.429E-5</v>
      </c>
    </row>
    <row r="5" spans="1:19" x14ac:dyDescent="0.3">
      <c r="A5">
        <v>0.25</v>
      </c>
      <c r="B5">
        <v>0.51919999999999999</v>
      </c>
      <c r="C5">
        <v>22.212</v>
      </c>
      <c r="D5">
        <f t="shared" si="0"/>
        <v>1.3788E-4</v>
      </c>
      <c r="E5">
        <f>(3*C5+0.8*200)/10000</f>
        <v>2.2663599999999999E-2</v>
      </c>
      <c r="J5">
        <v>2</v>
      </c>
      <c r="K5">
        <v>9.8132999999999998E-2</v>
      </c>
      <c r="L5">
        <f t="shared" ref="L5:L23" si="2">K5/J5</f>
        <v>4.9066499999999999E-2</v>
      </c>
      <c r="M5">
        <f t="shared" ref="M5:M23" si="3">L5*K5*1000</f>
        <v>4.8150428444999998</v>
      </c>
      <c r="N5">
        <f>(1.5*K5+0.4*0.2)/10000</f>
        <v>2.2719949999999999E-5</v>
      </c>
      <c r="O5">
        <v>2</v>
      </c>
      <c r="P5">
        <v>0.19603999999999999</v>
      </c>
      <c r="Q5">
        <f t="shared" ref="Q5:Q21" si="4">P5/O5</f>
        <v>9.8019999999999996E-2</v>
      </c>
      <c r="R5">
        <f t="shared" ref="R5:R21" si="5">Q5*P5*1000</f>
        <v>19.215840799999999</v>
      </c>
      <c r="S5">
        <f>(1.5*P5+0.4*0.2)/10000</f>
        <v>3.7406000000000001E-5</v>
      </c>
    </row>
    <row r="6" spans="1:19" x14ac:dyDescent="0.3">
      <c r="A6">
        <v>0.3</v>
      </c>
      <c r="B6">
        <v>0.52569999999999995</v>
      </c>
      <c r="C6">
        <v>27.216000000000001</v>
      </c>
      <c r="D6">
        <f t="shared" si="0"/>
        <v>1.3885499999999998E-4</v>
      </c>
      <c r="E6">
        <f t="shared" ref="E6:E13" si="6">(3*C6+0.8*200)/10000</f>
        <v>2.41648E-2</v>
      </c>
      <c r="J6">
        <v>4</v>
      </c>
      <c r="K6">
        <v>0.19148999999999999</v>
      </c>
      <c r="L6">
        <f t="shared" si="2"/>
        <v>4.7872499999999998E-2</v>
      </c>
      <c r="M6">
        <f t="shared" si="3"/>
        <v>9.1671050249999979</v>
      </c>
      <c r="N6">
        <f>(1.5*K6+0.4*0.2)/10000</f>
        <v>3.6723500000000002E-5</v>
      </c>
      <c r="O6">
        <v>3</v>
      </c>
      <c r="P6">
        <v>0.27012999999999998</v>
      </c>
      <c r="Q6">
        <f t="shared" si="4"/>
        <v>9.0043333333333322E-2</v>
      </c>
      <c r="R6">
        <f t="shared" si="5"/>
        <v>24.32340563333333</v>
      </c>
      <c r="S6">
        <f t="shared" ref="S6:S21" si="7">(1.5*P6+0.3*2)/10000</f>
        <v>1.0051950000000001E-4</v>
      </c>
    </row>
    <row r="7" spans="1:19" x14ac:dyDescent="0.3">
      <c r="A7">
        <v>0.4</v>
      </c>
      <c r="B7">
        <v>0.53454000000000002</v>
      </c>
      <c r="C7">
        <v>37.143000000000001</v>
      </c>
      <c r="D7">
        <f t="shared" si="0"/>
        <v>1.4018099999999999E-4</v>
      </c>
      <c r="E7">
        <f t="shared" si="6"/>
        <v>2.7142899999999998E-2</v>
      </c>
      <c r="J7">
        <v>6</v>
      </c>
      <c r="K7">
        <v>0.27938000000000002</v>
      </c>
      <c r="L7">
        <f t="shared" si="2"/>
        <v>4.6563333333333339E-2</v>
      </c>
      <c r="M7">
        <f t="shared" si="3"/>
        <v>13.00886406666667</v>
      </c>
      <c r="N7">
        <f>(1.5*K7+0.3*2)/10000</f>
        <v>1.0190700000000001E-4</v>
      </c>
      <c r="O7">
        <v>4</v>
      </c>
      <c r="P7">
        <v>0.33095000000000002</v>
      </c>
      <c r="Q7">
        <f t="shared" si="4"/>
        <v>8.2737500000000005E-2</v>
      </c>
      <c r="R7">
        <f t="shared" si="5"/>
        <v>27.381975625000003</v>
      </c>
      <c r="S7">
        <f t="shared" si="7"/>
        <v>1.096425E-4</v>
      </c>
    </row>
    <row r="8" spans="1:19" x14ac:dyDescent="0.3">
      <c r="A8">
        <v>0.5</v>
      </c>
      <c r="B8">
        <v>0.54100000000000004</v>
      </c>
      <c r="C8">
        <v>47.088000000000001</v>
      </c>
      <c r="D8">
        <f t="shared" si="0"/>
        <v>1.4115000000000002E-4</v>
      </c>
      <c r="E8">
        <f t="shared" si="6"/>
        <v>3.0126400000000001E-2</v>
      </c>
      <c r="J8">
        <v>8</v>
      </c>
      <c r="K8">
        <v>0.35132999999999998</v>
      </c>
      <c r="L8">
        <f t="shared" si="2"/>
        <v>4.3916249999999997E-2</v>
      </c>
      <c r="M8">
        <f t="shared" si="3"/>
        <v>15.429096112499998</v>
      </c>
      <c r="N8">
        <f t="shared" ref="N8:N23" si="8">(1.5*K8+0.3*2)/10000</f>
        <v>1.1269949999999999E-4</v>
      </c>
      <c r="O8">
        <v>5</v>
      </c>
      <c r="P8">
        <v>0.37574999999999997</v>
      </c>
      <c r="Q8">
        <f t="shared" si="4"/>
        <v>7.5149999999999995E-2</v>
      </c>
      <c r="R8">
        <f t="shared" si="5"/>
        <v>28.237612499999994</v>
      </c>
      <c r="S8">
        <f t="shared" si="7"/>
        <v>1.1636249999999999E-4</v>
      </c>
    </row>
    <row r="9" spans="1:19" x14ac:dyDescent="0.3">
      <c r="A9">
        <v>0.6</v>
      </c>
      <c r="B9">
        <v>0.54432000000000003</v>
      </c>
      <c r="C9">
        <v>56.622</v>
      </c>
      <c r="D9">
        <f t="shared" si="0"/>
        <v>1.41648E-4</v>
      </c>
      <c r="E9">
        <f t="shared" si="6"/>
        <v>3.2986599999999998E-2</v>
      </c>
      <c r="J9">
        <v>9</v>
      </c>
      <c r="K9">
        <v>0.37807000000000002</v>
      </c>
      <c r="L9">
        <f t="shared" si="2"/>
        <v>4.2007777777777783E-2</v>
      </c>
      <c r="M9">
        <f t="shared" si="3"/>
        <v>15.881880544444446</v>
      </c>
      <c r="N9">
        <f t="shared" si="8"/>
        <v>1.1671049999999998E-4</v>
      </c>
      <c r="O9">
        <v>6</v>
      </c>
      <c r="P9">
        <v>0.40727999999999998</v>
      </c>
      <c r="Q9">
        <f t="shared" si="4"/>
        <v>6.7879999999999996E-2</v>
      </c>
      <c r="R9">
        <f t="shared" si="5"/>
        <v>27.646166399999998</v>
      </c>
      <c r="S9">
        <f t="shared" si="7"/>
        <v>1.2109199999999997E-4</v>
      </c>
    </row>
    <row r="10" spans="1:19" x14ac:dyDescent="0.3">
      <c r="A10">
        <v>0.7</v>
      </c>
      <c r="B10">
        <v>0.54749999999999999</v>
      </c>
      <c r="C10">
        <v>65.977999999999994</v>
      </c>
      <c r="D10">
        <f t="shared" si="0"/>
        <v>1.4212500000000003E-4</v>
      </c>
      <c r="E10">
        <f t="shared" si="6"/>
        <v>3.5793399999999996E-2</v>
      </c>
      <c r="J10">
        <v>10</v>
      </c>
      <c r="K10">
        <v>0.39977000000000001</v>
      </c>
      <c r="L10">
        <f t="shared" si="2"/>
        <v>3.9976999999999999E-2</v>
      </c>
      <c r="M10">
        <f t="shared" si="3"/>
        <v>15.981605289999999</v>
      </c>
      <c r="N10">
        <f t="shared" si="8"/>
        <v>1.1996549999999999E-4</v>
      </c>
      <c r="O10">
        <v>7</v>
      </c>
      <c r="P10">
        <v>0.43013000000000001</v>
      </c>
      <c r="Q10">
        <f t="shared" si="4"/>
        <v>6.144714285714286E-2</v>
      </c>
      <c r="R10">
        <f t="shared" si="5"/>
        <v>26.430259557142861</v>
      </c>
      <c r="S10">
        <f t="shared" si="7"/>
        <v>1.2451949999999997E-4</v>
      </c>
    </row>
    <row r="11" spans="1:19" x14ac:dyDescent="0.3">
      <c r="A11">
        <v>0.8</v>
      </c>
      <c r="B11">
        <v>0.55059999999999998</v>
      </c>
      <c r="C11">
        <v>75.102000000000004</v>
      </c>
      <c r="D11">
        <f t="shared" si="0"/>
        <v>1.4259E-4</v>
      </c>
      <c r="E11">
        <f t="shared" si="6"/>
        <v>3.8530600000000005E-2</v>
      </c>
      <c r="J11">
        <v>11</v>
      </c>
      <c r="K11">
        <v>0.41739999999999999</v>
      </c>
      <c r="L11">
        <f t="shared" si="2"/>
        <v>3.7945454545454546E-2</v>
      </c>
      <c r="M11">
        <f t="shared" si="3"/>
        <v>15.838432727272728</v>
      </c>
      <c r="N11">
        <f t="shared" si="8"/>
        <v>1.2260999999999999E-4</v>
      </c>
      <c r="O11">
        <v>8</v>
      </c>
      <c r="P11">
        <v>0.44689000000000001</v>
      </c>
      <c r="Q11">
        <f t="shared" si="4"/>
        <v>5.5861250000000001E-2</v>
      </c>
      <c r="R11">
        <f t="shared" si="5"/>
        <v>24.963834012500001</v>
      </c>
      <c r="S11">
        <f t="shared" si="7"/>
        <v>1.2703350000000001E-4</v>
      </c>
    </row>
    <row r="12" spans="1:19" x14ac:dyDescent="0.3">
      <c r="A12">
        <v>0.9</v>
      </c>
      <c r="B12">
        <v>0.55279999999999996</v>
      </c>
      <c r="C12">
        <v>84.201999999999998</v>
      </c>
      <c r="D12">
        <f t="shared" si="0"/>
        <v>1.4291999999999999E-4</v>
      </c>
      <c r="E12">
        <f t="shared" si="6"/>
        <v>4.1260600000000001E-2</v>
      </c>
      <c r="J12">
        <v>12</v>
      </c>
      <c r="K12">
        <v>0.43034</v>
      </c>
      <c r="L12">
        <f t="shared" si="2"/>
        <v>3.5861666666666667E-2</v>
      </c>
      <c r="M12">
        <f t="shared" si="3"/>
        <v>15.432709633333333</v>
      </c>
      <c r="N12">
        <f t="shared" si="8"/>
        <v>1.2455099999999998E-4</v>
      </c>
      <c r="O12">
        <v>9</v>
      </c>
      <c r="P12">
        <v>0.45928000000000002</v>
      </c>
      <c r="Q12">
        <f t="shared" si="4"/>
        <v>5.103111111111111E-2</v>
      </c>
      <c r="R12">
        <f t="shared" si="5"/>
        <v>23.437568711111112</v>
      </c>
      <c r="S12">
        <f t="shared" si="7"/>
        <v>1.28892E-4</v>
      </c>
    </row>
    <row r="13" spans="1:19" x14ac:dyDescent="0.3">
      <c r="A13">
        <v>1</v>
      </c>
      <c r="B13">
        <v>0.55306</v>
      </c>
      <c r="C13">
        <v>92.472999999999999</v>
      </c>
      <c r="D13">
        <f t="shared" si="0"/>
        <v>1.4295900000000001E-4</v>
      </c>
      <c r="E13">
        <f t="shared" si="6"/>
        <v>4.37419E-2</v>
      </c>
      <c r="J13">
        <v>13</v>
      </c>
      <c r="K13">
        <v>0.44107000000000002</v>
      </c>
      <c r="L13">
        <f t="shared" si="2"/>
        <v>3.3928461538461539E-2</v>
      </c>
      <c r="M13">
        <f t="shared" si="3"/>
        <v>14.964826530769232</v>
      </c>
      <c r="N13">
        <f t="shared" si="8"/>
        <v>1.2616049999999998E-4</v>
      </c>
      <c r="O13">
        <v>10</v>
      </c>
      <c r="P13">
        <v>0.46959000000000001</v>
      </c>
      <c r="Q13">
        <f t="shared" si="4"/>
        <v>4.6959000000000001E-2</v>
      </c>
      <c r="R13">
        <f t="shared" si="5"/>
        <v>22.05147681</v>
      </c>
      <c r="S13">
        <f t="shared" si="7"/>
        <v>1.3043849999999998E-4</v>
      </c>
    </row>
    <row r="14" spans="1:19" x14ac:dyDescent="0.3">
      <c r="A14">
        <v>0.12</v>
      </c>
      <c r="B14">
        <v>0.48759999999999998</v>
      </c>
      <c r="C14">
        <v>9.4160000000000004</v>
      </c>
      <c r="D14">
        <f t="shared" si="0"/>
        <v>1.3313999999999999E-4</v>
      </c>
      <c r="E14">
        <f t="shared" si="1"/>
        <v>7.7664000000000006E-3</v>
      </c>
      <c r="J14">
        <v>14</v>
      </c>
      <c r="K14">
        <v>0.4501</v>
      </c>
      <c r="L14">
        <f t="shared" si="2"/>
        <v>3.2149999999999998E-2</v>
      </c>
      <c r="M14">
        <f t="shared" si="3"/>
        <v>14.470714999999998</v>
      </c>
      <c r="N14">
        <f t="shared" si="8"/>
        <v>1.27515E-4</v>
      </c>
      <c r="O14">
        <v>11</v>
      </c>
      <c r="P14">
        <v>0.47756999999999999</v>
      </c>
      <c r="Q14">
        <f t="shared" si="4"/>
        <v>4.3415454545454542E-2</v>
      </c>
      <c r="R14">
        <f t="shared" si="5"/>
        <v>20.733918627272725</v>
      </c>
      <c r="S14">
        <f t="shared" si="7"/>
        <v>1.3163549999999999E-4</v>
      </c>
    </row>
    <row r="15" spans="1:19" x14ac:dyDescent="0.3">
      <c r="A15">
        <v>0.15</v>
      </c>
      <c r="B15">
        <v>0.49826999999999999</v>
      </c>
      <c r="C15">
        <v>12.353</v>
      </c>
      <c r="D15">
        <f t="shared" si="0"/>
        <v>1.3474050000000001E-4</v>
      </c>
      <c r="E15">
        <f t="shared" si="1"/>
        <v>8.9411999999999998E-3</v>
      </c>
      <c r="J15">
        <v>15</v>
      </c>
      <c r="K15">
        <v>0.45732</v>
      </c>
      <c r="L15">
        <f t="shared" si="2"/>
        <v>3.0488000000000001E-2</v>
      </c>
      <c r="M15">
        <f t="shared" si="3"/>
        <v>13.942772160000001</v>
      </c>
      <c r="N15">
        <f t="shared" si="8"/>
        <v>1.2859799999999998E-4</v>
      </c>
      <c r="O15">
        <v>15</v>
      </c>
      <c r="P15">
        <v>0.49839</v>
      </c>
      <c r="Q15">
        <f t="shared" si="4"/>
        <v>3.3225999999999999E-2</v>
      </c>
      <c r="R15">
        <f t="shared" si="5"/>
        <v>16.55950614</v>
      </c>
      <c r="S15">
        <f t="shared" si="7"/>
        <v>1.3475849999999999E-4</v>
      </c>
    </row>
    <row r="16" spans="1:19" x14ac:dyDescent="0.3">
      <c r="J16">
        <v>20</v>
      </c>
      <c r="K16">
        <v>0.48158000000000001</v>
      </c>
      <c r="L16">
        <f t="shared" si="2"/>
        <v>2.4079E-2</v>
      </c>
      <c r="M16">
        <f t="shared" si="3"/>
        <v>11.595964820000001</v>
      </c>
      <c r="N16">
        <f t="shared" si="8"/>
        <v>1.3223699999999997E-4</v>
      </c>
      <c r="O16">
        <v>20</v>
      </c>
      <c r="P16">
        <v>0.51204000000000005</v>
      </c>
      <c r="Q16">
        <f t="shared" si="4"/>
        <v>2.5602000000000003E-2</v>
      </c>
      <c r="R16">
        <f t="shared" si="5"/>
        <v>13.109248080000004</v>
      </c>
      <c r="S16">
        <f t="shared" si="7"/>
        <v>1.36806E-4</v>
      </c>
    </row>
    <row r="17" spans="1:19" x14ac:dyDescent="0.3">
      <c r="J17">
        <v>25</v>
      </c>
      <c r="K17">
        <v>0.4945</v>
      </c>
      <c r="L17">
        <f t="shared" si="2"/>
        <v>1.9779999999999999E-2</v>
      </c>
      <c r="M17">
        <f t="shared" si="3"/>
        <v>9.7812099999999997</v>
      </c>
      <c r="N17">
        <f t="shared" si="8"/>
        <v>1.34175E-4</v>
      </c>
      <c r="O17">
        <v>25</v>
      </c>
      <c r="P17">
        <v>0.52029000000000003</v>
      </c>
      <c r="Q17">
        <f t="shared" si="4"/>
        <v>2.08116E-2</v>
      </c>
      <c r="R17">
        <f t="shared" si="5"/>
        <v>10.828067364000001</v>
      </c>
      <c r="S17">
        <f t="shared" si="7"/>
        <v>1.3804349999999997E-4</v>
      </c>
    </row>
    <row r="18" spans="1:19" x14ac:dyDescent="0.3">
      <c r="B18" t="s">
        <v>1</v>
      </c>
      <c r="C18" t="s">
        <v>17</v>
      </c>
      <c r="D18" t="s">
        <v>13</v>
      </c>
      <c r="E18" t="s">
        <v>9</v>
      </c>
      <c r="F18" t="s">
        <v>8</v>
      </c>
      <c r="J18">
        <v>35</v>
      </c>
      <c r="K18">
        <v>0.50854999999999995</v>
      </c>
      <c r="L18">
        <f t="shared" si="2"/>
        <v>1.4529999999999998E-2</v>
      </c>
      <c r="M18">
        <f t="shared" si="3"/>
        <v>7.3892314999999984</v>
      </c>
      <c r="N18">
        <f t="shared" si="8"/>
        <v>1.362825E-4</v>
      </c>
      <c r="O18">
        <v>30</v>
      </c>
      <c r="P18">
        <v>0.52566000000000002</v>
      </c>
      <c r="Q18">
        <f t="shared" si="4"/>
        <v>1.7521999999999999E-2</v>
      </c>
      <c r="R18">
        <f t="shared" si="5"/>
        <v>9.21061452</v>
      </c>
      <c r="S18">
        <f t="shared" si="7"/>
        <v>1.38849E-4</v>
      </c>
    </row>
    <row r="19" spans="1:19" x14ac:dyDescent="0.3">
      <c r="A19" t="s">
        <v>5</v>
      </c>
      <c r="B19">
        <f>B5</f>
        <v>0.51919999999999999</v>
      </c>
      <c r="C19">
        <f>C5</f>
        <v>22.212</v>
      </c>
      <c r="D19">
        <f>B19/C19*1000</f>
        <v>23.374752386097605</v>
      </c>
      <c r="E19">
        <f>D19/10</f>
        <v>2.3374752386097604</v>
      </c>
      <c r="F19">
        <f>D19*10</f>
        <v>233.74752386097606</v>
      </c>
      <c r="J19">
        <v>45</v>
      </c>
      <c r="K19">
        <v>0.51561999999999997</v>
      </c>
      <c r="L19">
        <f t="shared" si="2"/>
        <v>1.1458222222222222E-2</v>
      </c>
      <c r="M19">
        <f t="shared" si="3"/>
        <v>5.908088542222222</v>
      </c>
      <c r="N19">
        <f t="shared" si="8"/>
        <v>1.37343E-4</v>
      </c>
      <c r="O19">
        <v>40</v>
      </c>
      <c r="P19">
        <v>0.53242</v>
      </c>
      <c r="Q19">
        <f t="shared" si="4"/>
        <v>1.3310499999999999E-2</v>
      </c>
      <c r="R19">
        <f t="shared" si="5"/>
        <v>7.0867764099999997</v>
      </c>
      <c r="S19">
        <f t="shared" si="7"/>
        <v>1.3986299999999997E-4</v>
      </c>
    </row>
    <row r="20" spans="1:19" x14ac:dyDescent="0.3">
      <c r="A20" t="s">
        <v>6</v>
      </c>
      <c r="B20">
        <f>B8</f>
        <v>0.54100000000000004</v>
      </c>
      <c r="C20">
        <f>C8</f>
        <v>47.088000000000001</v>
      </c>
      <c r="D20">
        <f t="shared" ref="D20:D21" si="9">B20/C20*1000</f>
        <v>11.48912674142032</v>
      </c>
      <c r="E20">
        <f t="shared" ref="E20:E21" si="10">D20/10</f>
        <v>1.1489126741420319</v>
      </c>
      <c r="F20">
        <f t="shared" ref="F20:F21" si="11">D20*10</f>
        <v>114.8912674142032</v>
      </c>
      <c r="J20">
        <v>17</v>
      </c>
      <c r="K20">
        <v>0.46872999999999998</v>
      </c>
      <c r="L20">
        <f t="shared" si="2"/>
        <v>2.7572352941176468E-2</v>
      </c>
      <c r="M20">
        <f t="shared" si="3"/>
        <v>12.923988994117645</v>
      </c>
      <c r="N20">
        <f t="shared" si="8"/>
        <v>1.3030949999999998E-4</v>
      </c>
      <c r="O20">
        <v>50</v>
      </c>
      <c r="P20">
        <v>0.53644000000000003</v>
      </c>
      <c r="Q20">
        <f t="shared" si="4"/>
        <v>1.07288E-2</v>
      </c>
      <c r="R20">
        <f t="shared" si="5"/>
        <v>5.7553574720000009</v>
      </c>
      <c r="S20">
        <f t="shared" si="7"/>
        <v>1.4046600000000001E-4</v>
      </c>
    </row>
    <row r="21" spans="1:19" x14ac:dyDescent="0.3">
      <c r="A21" t="s">
        <v>7</v>
      </c>
      <c r="B21">
        <f>B13</f>
        <v>0.55306</v>
      </c>
      <c r="C21">
        <f>C13</f>
        <v>92.472999999999999</v>
      </c>
      <c r="D21">
        <f t="shared" si="9"/>
        <v>5.9807727661047014</v>
      </c>
      <c r="E21">
        <f t="shared" si="10"/>
        <v>0.59807727661047017</v>
      </c>
      <c r="F21">
        <f t="shared" si="11"/>
        <v>59.807727661047011</v>
      </c>
      <c r="J21">
        <v>7</v>
      </c>
      <c r="K21">
        <v>0.31849</v>
      </c>
      <c r="L21">
        <f t="shared" si="2"/>
        <v>4.549857142857143E-2</v>
      </c>
      <c r="M21">
        <f t="shared" si="3"/>
        <v>14.490840014285714</v>
      </c>
      <c r="N21">
        <f t="shared" si="8"/>
        <v>1.0777350000000001E-4</v>
      </c>
      <c r="O21">
        <v>60</v>
      </c>
      <c r="P21">
        <v>0.53861000000000003</v>
      </c>
      <c r="Q21">
        <f t="shared" si="4"/>
        <v>8.9768333333333332E-3</v>
      </c>
      <c r="R21">
        <f t="shared" si="5"/>
        <v>4.8350122016666663</v>
      </c>
      <c r="S21">
        <f t="shared" si="7"/>
        <v>1.4079150000000001E-4</v>
      </c>
    </row>
    <row r="22" spans="1:19" x14ac:dyDescent="0.3">
      <c r="J22">
        <v>55</v>
      </c>
      <c r="K22">
        <v>0.52002000000000004</v>
      </c>
      <c r="L22">
        <f t="shared" si="2"/>
        <v>9.4549090909090919E-3</v>
      </c>
      <c r="M22">
        <f t="shared" si="3"/>
        <v>4.9167418254545465</v>
      </c>
      <c r="N22">
        <f t="shared" si="8"/>
        <v>1.3800300000000001E-4</v>
      </c>
    </row>
    <row r="23" spans="1:19" x14ac:dyDescent="0.3">
      <c r="A23" t="s">
        <v>5</v>
      </c>
      <c r="J23">
        <v>65</v>
      </c>
      <c r="K23">
        <v>0.52327000000000001</v>
      </c>
      <c r="L23">
        <f t="shared" si="2"/>
        <v>8.0503076923076917E-3</v>
      </c>
      <c r="M23">
        <f t="shared" si="3"/>
        <v>4.2124845061538458</v>
      </c>
      <c r="N23">
        <f t="shared" si="8"/>
        <v>1.3849049999999999E-4</v>
      </c>
    </row>
    <row r="24" spans="1:19" x14ac:dyDescent="0.3">
      <c r="A24" t="s">
        <v>14</v>
      </c>
      <c r="B24" t="s">
        <v>1</v>
      </c>
      <c r="C24" t="s">
        <v>2</v>
      </c>
      <c r="D24" t="s">
        <v>15</v>
      </c>
      <c r="E24" t="s">
        <v>3</v>
      </c>
      <c r="F24" t="s">
        <v>10</v>
      </c>
    </row>
    <row r="25" spans="1:19" x14ac:dyDescent="0.3">
      <c r="A25">
        <v>2</v>
      </c>
      <c r="B25">
        <v>4.6210000000000001E-2</v>
      </c>
      <c r="C25">
        <f>B25/A25</f>
        <v>2.3105000000000001E-2</v>
      </c>
      <c r="D25">
        <f>C25*B25*1000</f>
        <v>1.0676820500000002</v>
      </c>
      <c r="E25">
        <f>(1.5*B25+0.4*0.2)/10000</f>
        <v>1.4931500000000003E-5</v>
      </c>
      <c r="F25" t="s">
        <v>11</v>
      </c>
      <c r="G25" t="s">
        <v>12</v>
      </c>
      <c r="H25" t="s">
        <v>16</v>
      </c>
      <c r="I25" t="s">
        <v>3</v>
      </c>
      <c r="J25" t="s">
        <v>4</v>
      </c>
    </row>
    <row r="26" spans="1:19" x14ac:dyDescent="0.3">
      <c r="A26">
        <v>4</v>
      </c>
      <c r="B26">
        <v>9.0230000000000005E-2</v>
      </c>
      <c r="C26">
        <f t="shared" ref="C26:C46" si="12">B26/A26</f>
        <v>2.2557500000000001E-2</v>
      </c>
      <c r="D26">
        <f t="shared" ref="D26:D46" si="13">C26*B26*1000</f>
        <v>2.0353632250000002</v>
      </c>
      <c r="E26">
        <f>(1.5*B26+0.4*0.2)/10000</f>
        <v>2.1534500000000002E-5</v>
      </c>
      <c r="F26">
        <v>1.8</v>
      </c>
      <c r="G26">
        <v>1.1439999999999999</v>
      </c>
      <c r="H26">
        <v>0.10199999999999999</v>
      </c>
      <c r="I26">
        <f>(1.5*G26+0.4*200)/10000</f>
        <v>8.1715999999999994E-3</v>
      </c>
      <c r="J26">
        <f>(3*H26+200*0.5)/10000</f>
        <v>1.0030599999999999E-2</v>
      </c>
    </row>
    <row r="27" spans="1:19" x14ac:dyDescent="0.3">
      <c r="A27">
        <v>10</v>
      </c>
      <c r="B27">
        <v>0.22070000000000001</v>
      </c>
      <c r="C27">
        <f t="shared" si="12"/>
        <v>2.2069999999999999E-2</v>
      </c>
      <c r="D27">
        <f t="shared" si="13"/>
        <v>4.8708489999999998</v>
      </c>
      <c r="E27">
        <f>(1.5*B27+0.3*2)/10000</f>
        <v>9.3104999999999997E-5</v>
      </c>
      <c r="F27">
        <v>3.1</v>
      </c>
      <c r="G27">
        <v>13.48</v>
      </c>
      <c r="H27">
        <v>1.22</v>
      </c>
      <c r="I27">
        <f t="shared" ref="I27:I32" si="14">(1.5*G27+0.4*200)/10000</f>
        <v>1.0022E-2</v>
      </c>
      <c r="J27">
        <f t="shared" ref="J27:J32" si="15">(3*H27+200*0.5)/10000</f>
        <v>1.0366E-2</v>
      </c>
    </row>
    <row r="28" spans="1:19" x14ac:dyDescent="0.3">
      <c r="A28">
        <v>16</v>
      </c>
      <c r="B28">
        <v>0.33550000000000002</v>
      </c>
      <c r="C28">
        <f t="shared" si="12"/>
        <v>2.0968750000000001E-2</v>
      </c>
      <c r="D28">
        <f t="shared" si="13"/>
        <v>7.0350156250000007</v>
      </c>
      <c r="E28">
        <f t="shared" ref="E28:E45" si="16">(1.5*B28+0.3*2)/10000</f>
        <v>1.1032500000000001E-4</v>
      </c>
      <c r="F28">
        <v>5.7</v>
      </c>
      <c r="G28">
        <v>37.83</v>
      </c>
      <c r="H28">
        <v>3.84</v>
      </c>
      <c r="I28">
        <f t="shared" si="14"/>
        <v>1.3674500000000001E-2</v>
      </c>
      <c r="J28">
        <f t="shared" si="15"/>
        <v>1.1152E-2</v>
      </c>
    </row>
    <row r="29" spans="1:19" x14ac:dyDescent="0.3">
      <c r="A29">
        <v>30</v>
      </c>
      <c r="B29">
        <v>0.45050000000000001</v>
      </c>
      <c r="C29">
        <f t="shared" si="12"/>
        <v>1.5016666666666668E-2</v>
      </c>
      <c r="D29">
        <f t="shared" si="13"/>
        <v>6.7650083333333342</v>
      </c>
      <c r="E29">
        <f t="shared" si="16"/>
        <v>1.27575E-4</v>
      </c>
      <c r="F29">
        <v>8.3000000000000007</v>
      </c>
      <c r="G29">
        <v>59.2</v>
      </c>
      <c r="H29">
        <v>6.6849999999999996</v>
      </c>
      <c r="I29">
        <f t="shared" si="14"/>
        <v>1.6880000000000003E-2</v>
      </c>
      <c r="J29">
        <f t="shared" si="15"/>
        <v>1.2005500000000001E-2</v>
      </c>
    </row>
    <row r="30" spans="1:19" x14ac:dyDescent="0.3">
      <c r="A30">
        <v>60</v>
      </c>
      <c r="B30">
        <v>0.49034</v>
      </c>
      <c r="C30">
        <f t="shared" si="12"/>
        <v>8.1723333333333335E-3</v>
      </c>
      <c r="D30">
        <f t="shared" si="13"/>
        <v>4.0072219266666673</v>
      </c>
      <c r="E30">
        <f t="shared" si="16"/>
        <v>1.3355100000000001E-4</v>
      </c>
      <c r="F30">
        <v>10.4</v>
      </c>
      <c r="G30">
        <v>73.33</v>
      </c>
      <c r="H30">
        <v>9.077</v>
      </c>
      <c r="I30">
        <f t="shared" si="14"/>
        <v>1.8999499999999999E-2</v>
      </c>
      <c r="J30">
        <f t="shared" si="15"/>
        <v>1.2723099999999999E-2</v>
      </c>
    </row>
    <row r="31" spans="1:19" x14ac:dyDescent="0.3">
      <c r="A31">
        <v>120</v>
      </c>
      <c r="B31">
        <v>0.50922000000000001</v>
      </c>
      <c r="C31">
        <f t="shared" si="12"/>
        <v>4.2434999999999999E-3</v>
      </c>
      <c r="D31">
        <f t="shared" si="13"/>
        <v>2.1608750699999999</v>
      </c>
      <c r="E31">
        <f t="shared" si="16"/>
        <v>1.3638300000000001E-4</v>
      </c>
      <c r="F31">
        <v>12.1</v>
      </c>
      <c r="G31">
        <v>84.35</v>
      </c>
      <c r="H31">
        <v>10.946</v>
      </c>
      <c r="I31">
        <f t="shared" si="14"/>
        <v>2.0652499999999997E-2</v>
      </c>
      <c r="J31">
        <f t="shared" si="15"/>
        <v>1.32838E-2</v>
      </c>
    </row>
    <row r="32" spans="1:19" x14ac:dyDescent="0.3">
      <c r="A32">
        <v>230</v>
      </c>
      <c r="B32">
        <v>0.51202999999999999</v>
      </c>
      <c r="C32">
        <f t="shared" si="12"/>
        <v>2.2262173913043478E-3</v>
      </c>
      <c r="D32">
        <f t="shared" si="13"/>
        <v>1.1398900908695651</v>
      </c>
      <c r="E32">
        <f t="shared" si="16"/>
        <v>1.3680450000000001E-4</v>
      </c>
      <c r="F32">
        <v>14.8</v>
      </c>
      <c r="G32">
        <v>97.78</v>
      </c>
      <c r="H32">
        <v>13.98</v>
      </c>
      <c r="I32">
        <f t="shared" si="14"/>
        <v>2.2667000000000003E-2</v>
      </c>
      <c r="J32">
        <f t="shared" si="15"/>
        <v>1.4194E-2</v>
      </c>
    </row>
    <row r="33" spans="1:5" x14ac:dyDescent="0.3">
      <c r="A33">
        <v>20</v>
      </c>
      <c r="B33">
        <v>0.38963999999999999</v>
      </c>
      <c r="C33">
        <f t="shared" si="12"/>
        <v>1.9481999999999999E-2</v>
      </c>
      <c r="D33">
        <f t="shared" si="13"/>
        <v>7.5909664799999987</v>
      </c>
      <c r="E33">
        <f t="shared" si="16"/>
        <v>1.1844600000000001E-4</v>
      </c>
    </row>
    <row r="34" spans="1:5" x14ac:dyDescent="0.3">
      <c r="A34">
        <v>25</v>
      </c>
      <c r="B34">
        <v>0.4284</v>
      </c>
      <c r="C34">
        <f t="shared" si="12"/>
        <v>1.7135999999999998E-2</v>
      </c>
      <c r="D34">
        <f t="shared" si="13"/>
        <v>7.3410623999999993</v>
      </c>
      <c r="E34">
        <f t="shared" si="16"/>
        <v>1.2425999999999998E-4</v>
      </c>
    </row>
    <row r="35" spans="1:5" x14ac:dyDescent="0.3">
      <c r="A35">
        <v>40</v>
      </c>
      <c r="B35">
        <v>0.47216999999999998</v>
      </c>
      <c r="C35">
        <f t="shared" si="12"/>
        <v>1.1804249999999999E-2</v>
      </c>
      <c r="D35">
        <f t="shared" si="13"/>
        <v>5.5736127224999992</v>
      </c>
      <c r="E35">
        <f t="shared" si="16"/>
        <v>1.308255E-4</v>
      </c>
    </row>
    <row r="36" spans="1:5" x14ac:dyDescent="0.3">
      <c r="A36">
        <v>21</v>
      </c>
      <c r="B36">
        <v>0.39887</v>
      </c>
      <c r="C36">
        <f t="shared" si="12"/>
        <v>1.8993809523809524E-2</v>
      </c>
      <c r="D36">
        <f t="shared" si="13"/>
        <v>7.5760608047619042</v>
      </c>
      <c r="E36">
        <f t="shared" si="16"/>
        <v>1.1983049999999999E-4</v>
      </c>
    </row>
    <row r="37" spans="1:5" x14ac:dyDescent="0.3">
      <c r="A37">
        <v>22</v>
      </c>
      <c r="B37">
        <v>0.40751999999999999</v>
      </c>
      <c r="C37">
        <f t="shared" si="12"/>
        <v>1.8523636363636364E-2</v>
      </c>
      <c r="D37">
        <f t="shared" si="13"/>
        <v>7.5487522909090909</v>
      </c>
      <c r="E37">
        <f t="shared" si="16"/>
        <v>1.21128E-4</v>
      </c>
    </row>
    <row r="38" spans="1:5" x14ac:dyDescent="0.3">
      <c r="A38">
        <v>23</v>
      </c>
      <c r="B38">
        <v>0.41538000000000003</v>
      </c>
      <c r="C38">
        <f t="shared" si="12"/>
        <v>1.806E-2</v>
      </c>
      <c r="D38">
        <f t="shared" si="13"/>
        <v>7.5017628000000007</v>
      </c>
      <c r="E38">
        <f t="shared" si="16"/>
        <v>1.2230699999999999E-4</v>
      </c>
    </row>
    <row r="39" spans="1:5" x14ac:dyDescent="0.3">
      <c r="A39">
        <v>24</v>
      </c>
      <c r="B39">
        <v>0.42209000000000002</v>
      </c>
      <c r="C39">
        <f t="shared" si="12"/>
        <v>1.7587083333333333E-2</v>
      </c>
      <c r="D39">
        <f t="shared" si="13"/>
        <v>7.4233320041666664</v>
      </c>
      <c r="E39">
        <f t="shared" si="16"/>
        <v>1.2331349999999998E-4</v>
      </c>
    </row>
    <row r="40" spans="1:5" x14ac:dyDescent="0.3">
      <c r="A40">
        <v>26</v>
      </c>
      <c r="B40">
        <v>0.43289</v>
      </c>
      <c r="C40">
        <f t="shared" si="12"/>
        <v>1.6649615384615384E-2</v>
      </c>
      <c r="D40">
        <f t="shared" si="13"/>
        <v>7.2074520038461536</v>
      </c>
      <c r="E40">
        <f t="shared" si="16"/>
        <v>1.2493349999999999E-4</v>
      </c>
    </row>
    <row r="41" spans="1:5" x14ac:dyDescent="0.3">
      <c r="A41">
        <v>19</v>
      </c>
      <c r="B41">
        <v>0.37761</v>
      </c>
      <c r="C41">
        <f t="shared" si="12"/>
        <v>1.9874210526315789E-2</v>
      </c>
      <c r="D41">
        <f t="shared" si="13"/>
        <v>7.5047006368421059</v>
      </c>
      <c r="E41">
        <f t="shared" si="16"/>
        <v>1.166415E-4</v>
      </c>
    </row>
    <row r="42" spans="1:5" x14ac:dyDescent="0.3">
      <c r="A42">
        <v>18</v>
      </c>
      <c r="B42">
        <v>0.36514999999999997</v>
      </c>
      <c r="C42">
        <f t="shared" si="12"/>
        <v>2.0286111111111109E-2</v>
      </c>
      <c r="D42">
        <f t="shared" si="13"/>
        <v>7.4074734722222209</v>
      </c>
      <c r="E42">
        <f t="shared" si="16"/>
        <v>1.1477249999999999E-4</v>
      </c>
    </row>
    <row r="43" spans="1:5" x14ac:dyDescent="0.3">
      <c r="A43">
        <v>17</v>
      </c>
      <c r="B43">
        <v>0.35048000000000001</v>
      </c>
      <c r="C43">
        <f t="shared" si="12"/>
        <v>2.0616470588235295E-2</v>
      </c>
      <c r="D43">
        <f t="shared" si="13"/>
        <v>7.2256606117647069</v>
      </c>
      <c r="E43">
        <f t="shared" si="16"/>
        <v>1.1257199999999998E-4</v>
      </c>
    </row>
    <row r="44" spans="1:5" x14ac:dyDescent="0.3">
      <c r="A44">
        <v>15</v>
      </c>
      <c r="B44">
        <v>0.31845000000000001</v>
      </c>
      <c r="C44">
        <f t="shared" si="12"/>
        <v>2.1230000000000002E-2</v>
      </c>
      <c r="D44">
        <f t="shared" si="13"/>
        <v>6.7606935000000012</v>
      </c>
      <c r="E44">
        <f t="shared" si="16"/>
        <v>1.0776749999999999E-4</v>
      </c>
    </row>
    <row r="45" spans="1:5" x14ac:dyDescent="0.3">
      <c r="A45">
        <v>12</v>
      </c>
      <c r="B45">
        <v>0.26246000000000003</v>
      </c>
      <c r="C45">
        <f t="shared" si="12"/>
        <v>2.1871666666666668E-2</v>
      </c>
      <c r="D45">
        <f t="shared" si="13"/>
        <v>5.7404376333333342</v>
      </c>
      <c r="E45">
        <f t="shared" si="16"/>
        <v>9.936899999999999E-5</v>
      </c>
    </row>
    <row r="46" spans="1:5" x14ac:dyDescent="0.3">
      <c r="A46">
        <v>6</v>
      </c>
      <c r="B46">
        <v>0.13444</v>
      </c>
      <c r="C46">
        <f t="shared" si="12"/>
        <v>2.2406666666666668E-2</v>
      </c>
      <c r="D46">
        <f t="shared" si="13"/>
        <v>3.0123522666666669</v>
      </c>
      <c r="E46">
        <f>(1.5*B46+0.4*200)/10000</f>
        <v>8.0201660000000004E-3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Němec</dc:creator>
  <cp:lastModifiedBy>David Němec</cp:lastModifiedBy>
  <dcterms:created xsi:type="dcterms:W3CDTF">2025-10-27T09:27:44Z</dcterms:created>
  <dcterms:modified xsi:type="dcterms:W3CDTF">2025-10-28T20:43:16Z</dcterms:modified>
</cp:coreProperties>
</file>